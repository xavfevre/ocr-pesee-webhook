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478" firstSheet="0" activeTab="0" autoFilterDateGrouping="1"/>
  </bookViews>
  <sheets>
    <sheet name="Semaine" sheetId="1" state="visible" r:id="rId1"/>
  </sheets>
  <definedNames>
    <definedName name="LigneTitreRégion1..C9">'Feuille de temps hebdomadaire'!$B$3</definedName>
    <definedName name="LigneTitreRégion2..K3">'Feuille de temps hebdomadaire'!$J$3</definedName>
    <definedName name="LigneTitreRégion3..K9">'Feuille de temps hebdomadaire'!$J$5</definedName>
    <definedName name="LigneTitreRégion4..K19">'Feuille de temps hebdomadaire'!$F$19</definedName>
    <definedName name="LigneTitreRégion5..H20">'Feuille de temps hebdomadaire'!$F$65</definedName>
    <definedName name="LigneTitreRégion6..K21">'Feuille de temps hebdomadaire'!$F$66</definedName>
    <definedName name="Titre1">TimeSheet[[#Headers],[Jour]]</definedName>
    <definedName name="_xlnm.Print_Titles" localSheetId="0">'Semaine'!$11:$11</definedName>
    <definedName name="_xlnm.Print_Area" localSheetId="0">'Semaine'!$A$1:$K$66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#&quot; &quot;##&quot; &quot;##&quot; &quot;##&quot; &quot;##"/>
    <numFmt numFmtId="165" formatCode="[$-F800]dddd\,\ mmmm\ dd\,\ yyyy"/>
    <numFmt numFmtId="166" formatCode="h:mm;@"/>
    <numFmt numFmtId="167" formatCode="#,##0.00\ &quot;€&quot;;\-#,##0.00\ &quot;€&quot;"/>
    <numFmt numFmtId="168" formatCode="#,##0.00_ ;\-#,##0.00\ "/>
    <numFmt numFmtId="169" formatCode="#,##0.00\ _€;\-#,##0.00\ _€"/>
  </numFmts>
  <fonts count="29">
    <font>
      <name val="Century Gothic"/>
      <family val="2"/>
      <color theme="1" tint="0.3499862666707358"/>
      <sz val="11"/>
      <scheme val="minor"/>
    </font>
    <font>
      <name val="Century Gothic"/>
      <charset val="134"/>
      <family val="2"/>
      <color theme="1"/>
      <sz val="11"/>
      <scheme val="minor"/>
    </font>
    <font>
      <name val="Arial"/>
      <family val="2"/>
      <sz val="11"/>
    </font>
    <font>
      <name val="Century Gothic"/>
      <family val="2"/>
      <b val="1"/>
      <color theme="1"/>
      <sz val="22"/>
      <scheme val="minor"/>
    </font>
    <font>
      <name val="Century Gothic"/>
      <family val="2"/>
      <color theme="1" tint="0.3499862666707358"/>
      <sz val="11"/>
      <scheme val="minor"/>
    </font>
    <font>
      <name val="Century Gothic"/>
      <family val="2"/>
      <sz val="11"/>
      <scheme val="minor"/>
    </font>
    <font>
      <name val="Century Gothic"/>
      <family val="2"/>
      <b val="1"/>
      <color theme="1"/>
      <sz val="11"/>
      <scheme val="minor"/>
    </font>
    <font>
      <name val="Century Gothic"/>
      <family val="2"/>
      <b val="1"/>
      <color theme="1" tint="0.499984740745262"/>
      <sz val="22"/>
      <scheme val="major"/>
    </font>
    <font>
      <name val="Century Gothic"/>
      <family val="2"/>
      <color theme="1" tint="0.3499862666707358"/>
      <sz val="11"/>
      <scheme val="major"/>
    </font>
    <font>
      <name val="Century Gothic"/>
      <charset val="134"/>
      <family val="2"/>
      <color rgb="FF006100"/>
      <sz val="11"/>
      <scheme val="minor"/>
    </font>
    <font>
      <name val="Century Gothic"/>
      <charset val="134"/>
      <family val="2"/>
      <color rgb="FF9C0006"/>
      <sz val="11"/>
      <scheme val="minor"/>
    </font>
    <font>
      <name val="Century Gothic"/>
      <charset val="134"/>
      <family val="2"/>
      <color rgb="FF9C5700"/>
      <sz val="11"/>
      <scheme val="minor"/>
    </font>
    <font>
      <name val="Century Gothic"/>
      <charset val="134"/>
      <family val="2"/>
      <color rgb="FF3F3F76"/>
      <sz val="11"/>
      <scheme val="minor"/>
    </font>
    <font>
      <name val="Century Gothic"/>
      <charset val="134"/>
      <family val="2"/>
      <b val="1"/>
      <color rgb="FF3F3F3F"/>
      <sz val="11"/>
      <scheme val="minor"/>
    </font>
    <font>
      <name val="Century Gothic"/>
      <charset val="134"/>
      <family val="2"/>
      <b val="1"/>
      <color rgb="FFFA7D00"/>
      <sz val="11"/>
      <scheme val="minor"/>
    </font>
    <font>
      <name val="Century Gothic"/>
      <charset val="134"/>
      <family val="2"/>
      <color rgb="FFFA7D00"/>
      <sz val="11"/>
      <scheme val="minor"/>
    </font>
    <font>
      <name val="Century Gothic"/>
      <charset val="134"/>
      <family val="2"/>
      <b val="1"/>
      <color theme="0"/>
      <sz val="11"/>
      <scheme val="minor"/>
    </font>
    <font>
      <name val="Century Gothic"/>
      <charset val="134"/>
      <family val="2"/>
      <color rgb="FFFF0000"/>
      <sz val="11"/>
      <scheme val="minor"/>
    </font>
    <font>
      <name val="Century Gothic"/>
      <charset val="134"/>
      <family val="2"/>
      <i val="1"/>
      <color rgb="FF7F7F7F"/>
      <sz val="11"/>
      <scheme val="minor"/>
    </font>
    <font>
      <name val="Century Gothic"/>
      <charset val="134"/>
      <family val="2"/>
      <color theme="0"/>
      <sz val="11"/>
      <scheme val="minor"/>
    </font>
    <font>
      <name val="Century Gothic"/>
      <family val="2"/>
      <b val="1"/>
      <color theme="1" tint="0.499984740745262"/>
      <sz val="12"/>
      <scheme val="major"/>
    </font>
    <font>
      <name val="Century Gothic"/>
      <family val="2"/>
      <color theme="1" tint="0.3499862666707358"/>
      <sz val="12"/>
      <scheme val="minor"/>
    </font>
    <font>
      <name val="Century Gothic"/>
      <family val="2"/>
      <b val="1"/>
      <color theme="1"/>
      <sz val="12"/>
      <scheme val="minor"/>
    </font>
    <font>
      <name val="Century Gothic"/>
      <family val="2"/>
      <sz val="12"/>
      <scheme val="minor"/>
    </font>
    <font>
      <name val="Century Gothic"/>
      <family val="2"/>
      <b val="1"/>
      <sz val="12"/>
      <scheme val="minor"/>
    </font>
    <font>
      <name val="Century Gothic"/>
      <family val="2"/>
      <b val="1"/>
      <color rgb="FFFF0000"/>
      <sz val="12"/>
      <scheme val="minor"/>
    </font>
    <font>
      <name val="Century Gothic"/>
      <family val="2"/>
      <color rgb="FFFF0000"/>
      <sz val="12"/>
      <scheme val="minor"/>
    </font>
    <font>
      <name val="Century Gothic"/>
      <family val="2"/>
      <color rgb="FF00B050"/>
      <sz val="12"/>
      <scheme val="minor"/>
    </font>
    <font>
      <name val="Century Gothic"/>
      <family val="2"/>
      <b val="1"/>
      <color rgb="FF00B050"/>
      <sz val="12"/>
      <scheme val="minor"/>
    </font>
  </fonts>
  <fills count="3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149967955565050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5999633777886288"/>
        <bgColor indexed="64"/>
      </patternFill>
    </fill>
  </fills>
  <borders count="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349986266670735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5">
    <xf numFmtId="0" fontId="4" fillId="0" borderId="0" applyAlignment="1">
      <alignment horizontal="left" vertical="center"/>
    </xf>
    <xf numFmtId="7" fontId="2" fillId="0" borderId="1" applyAlignment="1">
      <alignment horizontal="center" vertical="center"/>
    </xf>
    <xf numFmtId="0" fontId="4" fillId="0" borderId="0" applyAlignment="1" applyProtection="1">
      <alignment vertical="top"/>
      <protection locked="0" hidden="0"/>
    </xf>
    <xf numFmtId="43" fontId="2" fillId="0" borderId="0"/>
    <xf numFmtId="41" fontId="2" fillId="0" borderId="0"/>
    <xf numFmtId="42" fontId="2" fillId="0" borderId="0"/>
    <xf numFmtId="9" fontId="2" fillId="0" borderId="0"/>
    <xf numFmtId="0" fontId="7" fillId="0" borderId="0" applyAlignment="1">
      <alignment horizontal="right"/>
    </xf>
    <xf numFmtId="0" fontId="3" fillId="0" borderId="0" applyAlignment="1">
      <alignment vertical="center"/>
    </xf>
    <xf numFmtId="0" fontId="4" fillId="0" borderId="0" applyAlignment="1">
      <alignment horizontal="left"/>
    </xf>
    <xf numFmtId="0" fontId="4" fillId="0" borderId="0" applyAlignment="1">
      <alignment horizontal="right" vertical="center" indent="1"/>
    </xf>
    <xf numFmtId="0" fontId="5" fillId="0" borderId="2" applyAlignment="1" applyProtection="1">
      <alignment horizontal="left"/>
      <protection locked="0" hidden="0"/>
    </xf>
    <xf numFmtId="0" fontId="8" fillId="2" borderId="1" applyAlignment="1" applyProtection="1">
      <alignment horizontal="center" vertical="center"/>
      <protection locked="0" hidden="0"/>
    </xf>
    <xf numFmtId="14" fontId="5" fillId="0" borderId="0"/>
    <xf numFmtId="0" fontId="6" fillId="0" borderId="0" applyAlignment="1">
      <alignment horizontal="center" vertical="center"/>
    </xf>
    <xf numFmtId="0" fontId="6" fillId="3" borderId="1" applyAlignment="1">
      <alignment horizontal="left" vertical="center" indent="1"/>
    </xf>
    <xf numFmtId="166" fontId="5" fillId="0" borderId="0" applyAlignment="1">
      <alignment horizontal="center" vertical="center"/>
    </xf>
    <xf numFmtId="2" fontId="5" fillId="0" borderId="0" applyAlignment="1">
      <alignment horizontal="center" vertical="center"/>
    </xf>
    <xf numFmtId="164" fontId="5" fillId="0" borderId="0" applyAlignment="1" applyProtection="1">
      <alignment horizontal="left" wrapText="1"/>
      <protection locked="0" hidden="0"/>
    </xf>
    <xf numFmtId="0" fontId="4" fillId="0" borderId="0" applyAlignment="1">
      <alignment horizontal="left" vertical="center"/>
    </xf>
    <xf numFmtId="0" fontId="9" fillId="4" borderId="0"/>
    <xf numFmtId="0" fontId="10" fillId="5" borderId="0"/>
    <xf numFmtId="0" fontId="11" fillId="6" borderId="0"/>
    <xf numFmtId="0" fontId="12" fillId="7" borderId="3"/>
    <xf numFmtId="0" fontId="13" fillId="8" borderId="4"/>
    <xf numFmtId="0" fontId="14" fillId="8" borderId="3"/>
    <xf numFmtId="0" fontId="15" fillId="0" borderId="5"/>
    <xf numFmtId="0" fontId="16" fillId="9" borderId="6"/>
    <xf numFmtId="0" fontId="17" fillId="0" borderId="0"/>
    <xf numFmtId="0" fontId="4" fillId="10" borderId="7"/>
    <xf numFmtId="0" fontId="18" fillId="0" borderId="0"/>
    <xf numFmtId="0" fontId="19" fillId="11" borderId="0"/>
    <xf numFmtId="0" fontId="1" fillId="12" borderId="0"/>
    <xf numFmtId="0" fontId="1" fillId="13" borderId="0"/>
    <xf numFmtId="0" fontId="1" fillId="14" borderId="0"/>
    <xf numFmtId="0" fontId="19" fillId="15" borderId="0"/>
    <xf numFmtId="0" fontId="1" fillId="16" borderId="0"/>
    <xf numFmtId="0" fontId="1" fillId="17" borderId="0"/>
    <xf numFmtId="0" fontId="1" fillId="18" borderId="0"/>
    <xf numFmtId="0" fontId="19" fillId="19" borderId="0"/>
    <xf numFmtId="0" fontId="1" fillId="20" borderId="0"/>
    <xf numFmtId="0" fontId="1" fillId="21" borderId="0"/>
    <xf numFmtId="0" fontId="1" fillId="22" borderId="0"/>
    <xf numFmtId="0" fontId="19" fillId="23" borderId="0"/>
    <xf numFmtId="0" fontId="1" fillId="24" borderId="0"/>
    <xf numFmtId="0" fontId="1" fillId="25" borderId="0"/>
    <xf numFmtId="0" fontId="1" fillId="26" borderId="0"/>
    <xf numFmtId="0" fontId="19" fillId="27" borderId="0"/>
    <xf numFmtId="0" fontId="1" fillId="28" borderId="0"/>
    <xf numFmtId="0" fontId="1" fillId="29" borderId="0"/>
    <xf numFmtId="0" fontId="1" fillId="30" borderId="0"/>
    <xf numFmtId="0" fontId="19" fillId="31" borderId="0"/>
    <xf numFmtId="0" fontId="1" fillId="32" borderId="0"/>
    <xf numFmtId="0" fontId="1" fillId="33" borderId="0"/>
    <xf numFmtId="0" fontId="1" fillId="34" borderId="0"/>
  </cellStyleXfs>
  <cellXfs count="66">
    <xf numFmtId="0" fontId="0" fillId="0" borderId="0" applyAlignment="1" pivotButton="0" quotePrefix="0" xfId="0">
      <alignment horizontal="left" vertical="center"/>
    </xf>
    <xf numFmtId="0" fontId="20" fillId="0" borderId="0" applyAlignment="1" pivotButton="0" quotePrefix="0" xfId="7">
      <alignment horizontal="right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8">
      <alignment vertical="center"/>
    </xf>
    <xf numFmtId="20" fontId="21" fillId="0" borderId="0" applyAlignment="1" pivotButton="0" quotePrefix="0" xfId="0">
      <alignment horizontal="left" vertical="center"/>
    </xf>
    <xf numFmtId="0" fontId="21" fillId="0" borderId="0" applyAlignment="1" pivotButton="0" quotePrefix="0" xfId="9">
      <alignment horizontal="left"/>
    </xf>
    <xf numFmtId="0" fontId="21" fillId="0" borderId="2" applyAlignment="1" applyProtection="1" pivotButton="0" quotePrefix="0" xfId="11">
      <alignment horizontal="left" vertical="center"/>
      <protection locked="0" hidden="0"/>
    </xf>
    <xf numFmtId="14" fontId="21" fillId="0" borderId="2" applyAlignment="1" pivotButton="0" quotePrefix="0" xfId="13">
      <alignment horizontal="left" vertical="center"/>
    </xf>
    <xf numFmtId="164" fontId="21" fillId="0" borderId="2" applyAlignment="1" applyProtection="1" pivotButton="0" quotePrefix="0" xfId="18">
      <alignment horizontal="left" vertical="center"/>
      <protection locked="0" hidden="0"/>
    </xf>
    <xf numFmtId="0" fontId="21" fillId="0" borderId="2" applyAlignment="1" applyProtection="1" pivotButton="0" quotePrefix="0" xfId="2">
      <alignment horizontal="left" vertical="center"/>
      <protection locked="0" hidden="0"/>
    </xf>
    <xf numFmtId="0" fontId="22" fillId="0" borderId="0" applyAlignment="1" pivotButton="0" quotePrefix="0" xfId="14">
      <alignment horizontal="center" vertical="center"/>
    </xf>
    <xf numFmtId="0" fontId="22" fillId="0" borderId="0" applyAlignment="1" pivotButton="0" quotePrefix="0" xfId="14">
      <alignment horizontal="center" vertical="center" wrapText="1"/>
    </xf>
    <xf numFmtId="165" fontId="21" fillId="0" borderId="0" applyAlignment="1" pivotButton="0" quotePrefix="0" xfId="0">
      <alignment horizontal="left" vertical="center"/>
    </xf>
    <xf numFmtId="166" fontId="23" fillId="0" borderId="0" applyAlignment="1" pivotButton="0" quotePrefix="0" xfId="16">
      <alignment horizontal="center" vertical="center"/>
    </xf>
    <xf numFmtId="166" fontId="23" fillId="0" borderId="1" applyAlignment="1" pivotButton="0" quotePrefix="0" xfId="17">
      <alignment horizontal="center" vertical="center"/>
    </xf>
    <xf numFmtId="2" fontId="23" fillId="0" borderId="0" applyAlignment="1" pivotButton="0" quotePrefix="0" xfId="17">
      <alignment horizontal="center" vertical="center"/>
    </xf>
    <xf numFmtId="2" fontId="24" fillId="0" borderId="0" applyAlignment="1" pivotButton="0" quotePrefix="0" xfId="17">
      <alignment horizontal="center" vertical="center"/>
    </xf>
    <xf numFmtId="2" fontId="23" fillId="0" borderId="1" applyAlignment="1" pivotButton="0" quotePrefix="0" xfId="17">
      <alignment horizontal="center" vertical="center"/>
    </xf>
    <xf numFmtId="0" fontId="22" fillId="3" borderId="1" applyAlignment="1" pivotButton="0" quotePrefix="0" xfId="15">
      <alignment horizontal="left" vertical="center" wrapText="1" indent="1"/>
    </xf>
    <xf numFmtId="2" fontId="23" fillId="2" borderId="1" applyAlignment="1" pivotButton="0" quotePrefix="0" xfId="17">
      <alignment horizontal="center" vertical="center"/>
    </xf>
    <xf numFmtId="2" fontId="24" fillId="2" borderId="1" applyAlignment="1" pivotButton="0" quotePrefix="0" xfId="17">
      <alignment horizontal="center" vertical="center"/>
    </xf>
    <xf numFmtId="2" fontId="23" fillId="3" borderId="1" applyAlignment="1" pivotButton="0" quotePrefix="0" xfId="17">
      <alignment horizontal="center" vertical="center"/>
    </xf>
    <xf numFmtId="0" fontId="22" fillId="3" borderId="1" applyAlignment="1" pivotButton="0" quotePrefix="0" xfId="15">
      <alignment horizontal="left" vertical="center" indent="1"/>
    </xf>
    <xf numFmtId="2" fontId="23" fillId="35" borderId="1" applyAlignment="1" pivotButton="0" quotePrefix="0" xfId="17">
      <alignment horizontal="center" vertical="center"/>
    </xf>
    <xf numFmtId="167" fontId="21" fillId="0" borderId="1" applyAlignment="1" pivotButton="0" quotePrefix="0" xfId="1">
      <alignment horizontal="center" vertical="center"/>
    </xf>
    <xf numFmtId="167" fontId="22" fillId="3" borderId="1" applyAlignment="1" pivotButton="0" quotePrefix="0" xfId="1">
      <alignment horizontal="center" vertical="center"/>
    </xf>
    <xf numFmtId="168" fontId="25" fillId="2" borderId="1" applyAlignment="1" pivotButton="0" quotePrefix="0" xfId="1">
      <alignment horizontal="center" vertical="center"/>
    </xf>
    <xf numFmtId="167" fontId="21" fillId="2" borderId="1" applyAlignment="1" pivotButton="0" quotePrefix="0" xfId="1">
      <alignment horizontal="center" vertical="center"/>
    </xf>
    <xf numFmtId="166" fontId="26" fillId="0" borderId="0" applyAlignment="1" pivotButton="0" quotePrefix="0" xfId="16">
      <alignment horizontal="center" vertical="center"/>
    </xf>
    <xf numFmtId="166" fontId="27" fillId="0" borderId="0" applyAlignment="1" pivotButton="0" quotePrefix="0" xfId="16">
      <alignment horizontal="center" vertical="center"/>
    </xf>
    <xf numFmtId="14" fontId="21" fillId="0" borderId="0" applyAlignment="1" pivotButton="0" quotePrefix="0" xfId="13">
      <alignment horizontal="left" vertical="center"/>
    </xf>
    <xf numFmtId="164" fontId="21" fillId="0" borderId="0" applyAlignment="1" applyProtection="1" pivotButton="0" quotePrefix="0" xfId="18">
      <alignment horizontal="left" vertical="center"/>
      <protection locked="0" hidden="0"/>
    </xf>
    <xf numFmtId="0" fontId="21" fillId="0" borderId="0" applyAlignment="1" applyProtection="1" pivotButton="0" quotePrefix="0" xfId="2">
      <alignment horizontal="left" vertical="center"/>
      <protection locked="0" hidden="0"/>
    </xf>
    <xf numFmtId="2" fontId="23" fillId="3" borderId="0" applyAlignment="1" pivotButton="0" quotePrefix="0" xfId="17">
      <alignment horizontal="center" vertical="center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14">
      <alignment horizontal="center" wrapText="1"/>
    </xf>
    <xf numFmtId="2" fontId="23" fillId="0" borderId="0" applyAlignment="1" pivotButton="0" quotePrefix="0" xfId="17">
      <alignment horizontal="center"/>
    </xf>
    <xf numFmtId="2" fontId="24" fillId="2" borderId="1" applyAlignment="1" pivotButton="0" quotePrefix="0" xfId="17">
      <alignment horizontal="center"/>
    </xf>
    <xf numFmtId="2" fontId="24" fillId="0" borderId="0" applyAlignment="1" pivotButton="0" quotePrefix="0" xfId="17">
      <alignment horizontal="center"/>
    </xf>
    <xf numFmtId="2" fontId="23" fillId="2" borderId="1" applyAlignment="1" pivotButton="0" quotePrefix="0" xfId="17">
      <alignment horizontal="center"/>
    </xf>
    <xf numFmtId="167" fontId="21" fillId="2" borderId="1" applyAlignment="1" pivotButton="0" quotePrefix="0" xfId="1">
      <alignment horizontal="center"/>
    </xf>
    <xf numFmtId="168" fontId="21" fillId="0" borderId="1" applyAlignment="1" pivotButton="0" quotePrefix="0" xfId="1">
      <alignment horizontal="center"/>
    </xf>
    <xf numFmtId="2" fontId="25" fillId="0" borderId="0" applyAlignment="1" pivotButton="0" quotePrefix="0" xfId="17">
      <alignment horizontal="center"/>
    </xf>
    <xf numFmtId="168" fontId="28" fillId="2" borderId="1" applyAlignment="1" pivotButton="0" quotePrefix="0" xfId="1">
      <alignment horizontal="center" vertical="center"/>
    </xf>
    <xf numFmtId="2" fontId="25" fillId="2" borderId="1" applyAlignment="1" pivotButton="0" quotePrefix="0" xfId="17">
      <alignment horizontal="center" vertical="center"/>
    </xf>
    <xf numFmtId="169" fontId="21" fillId="2" borderId="1" applyAlignment="1" pivotButton="0" quotePrefix="0" xfId="1">
      <alignment horizontal="center" vertical="center"/>
    </xf>
    <xf numFmtId="2" fontId="25" fillId="35" borderId="1" applyAlignment="1" pivotButton="0" quotePrefix="0" xfId="17">
      <alignment horizontal="center" vertical="center"/>
    </xf>
    <xf numFmtId="166" fontId="28" fillId="0" borderId="0" applyAlignment="1" pivotButton="0" quotePrefix="0" xfId="16">
      <alignment horizontal="center" vertical="center"/>
    </xf>
    <xf numFmtId="168" fontId="24" fillId="2" borderId="1" applyAlignment="1" pivotButton="0" quotePrefix="0" xfId="1">
      <alignment horizontal="center" vertical="center"/>
    </xf>
    <xf numFmtId="2" fontId="25" fillId="0" borderId="0" applyAlignment="1" pivotButton="0" quotePrefix="0" xfId="17">
      <alignment horizontal="center" vertical="center"/>
    </xf>
    <xf numFmtId="2" fontId="28" fillId="0" borderId="0" applyAlignment="1" pivotButton="0" quotePrefix="0" xfId="17">
      <alignment horizontal="center" vertical="center"/>
    </xf>
    <xf numFmtId="2" fontId="22" fillId="0" borderId="0" applyAlignment="1" pivotButton="0" quotePrefix="0" xfId="17">
      <alignment horizontal="center" vertical="center"/>
    </xf>
    <xf numFmtId="2" fontId="22" fillId="2" borderId="1" applyAlignment="1" pivotButton="0" quotePrefix="0" xfId="17">
      <alignment horizontal="center" vertical="center"/>
    </xf>
    <xf numFmtId="2" fontId="22" fillId="35" borderId="1" applyAlignment="1" pivotButton="0" quotePrefix="0" xfId="17">
      <alignment horizontal="center" vertical="center"/>
    </xf>
    <xf numFmtId="164" fontId="21" fillId="0" borderId="2" applyAlignment="1" applyProtection="1" pivotButton="0" quotePrefix="0" xfId="18">
      <alignment horizontal="left" vertical="center"/>
      <protection locked="0" hidden="0"/>
    </xf>
    <xf numFmtId="0" fontId="21" fillId="0" borderId="2" applyAlignment="1" applyProtection="1" pivotButton="0" quotePrefix="0" xfId="2">
      <alignment horizontal="left" vertical="center"/>
      <protection locked="0" hidden="0"/>
    </xf>
    <xf numFmtId="0" fontId="21" fillId="0" borderId="2" applyAlignment="1" applyProtection="1" pivotButton="0" quotePrefix="0" xfId="11">
      <alignment horizontal="left" vertical="center"/>
      <protection locked="0" hidden="0"/>
    </xf>
    <xf numFmtId="0" fontId="20" fillId="0" borderId="0" applyAlignment="1" pivotButton="0" quotePrefix="0" xfId="7">
      <alignment horizontal="right"/>
    </xf>
    <xf numFmtId="0" fontId="0" fillId="0" borderId="0" pivotButton="0" quotePrefix="0" xfId="0"/>
    <xf numFmtId="0" fontId="0" fillId="0" borderId="2" applyProtection="1" pivotButton="0" quotePrefix="0" xfId="0">
      <protection locked="0" hidden="0"/>
    </xf>
    <xf numFmtId="164" fontId="21" fillId="0" borderId="2" applyAlignment="1" applyProtection="1" pivotButton="0" quotePrefix="0" xfId="18">
      <alignment horizontal="left" vertical="center"/>
      <protection locked="0" hidden="0"/>
    </xf>
    <xf numFmtId="165" fontId="21" fillId="0" borderId="0" applyAlignment="1" pivotButton="0" quotePrefix="0" xfId="0">
      <alignment horizontal="left" vertical="center"/>
    </xf>
    <xf numFmtId="167" fontId="21" fillId="0" borderId="1" applyAlignment="1" pivotButton="0" quotePrefix="0" xfId="1">
      <alignment horizontal="center" vertical="center"/>
    </xf>
    <xf numFmtId="167" fontId="22" fillId="3" borderId="1" applyAlignment="1" pivotButton="0" quotePrefix="0" xfId="1">
      <alignment horizontal="center" vertical="center"/>
    </xf>
    <xf numFmtId="168" fontId="25" fillId="2" borderId="1" applyAlignment="1" pivotButton="0" quotePrefix="0" xfId="1">
      <alignment horizontal="center" vertical="center"/>
    </xf>
    <xf numFmtId="167" fontId="21" fillId="2" borderId="1" applyAlignment="1" pivotButton="0" quotePrefix="0" xfId="1">
      <alignment horizontal="center" vertical="center"/>
    </xf>
  </cellXfs>
  <cellStyles count="55">
    <cellStyle name="Normal" xfId="0" builtinId="0"/>
    <cellStyle name="Monétaire" xfId="1" builtinId="4"/>
    <cellStyle name="Lien hypertexte" xfId="2" builtinId="8"/>
    <cellStyle name="Milliers" xfId="3" builtinId="3"/>
    <cellStyle name="Milliers [0]" xfId="4" builtinId="6"/>
    <cellStyle name="Monétaire [0]" xfId="5" builtinId="7"/>
    <cellStyle name="Pourcentage" xfId="6" builtinId="5"/>
    <cellStyle name="Titre" xfId="7" builtinId="15"/>
    <cellStyle name="Titre 1" xfId="8" builtinId="16"/>
    <cellStyle name="Titre 2" xfId="9" builtinId="17"/>
    <cellStyle name="Titre 3" xfId="10" builtinId="18"/>
    <cellStyle name="Bordure inférieure" xfId="11"/>
    <cellStyle name="Remplissage" xfId="12"/>
    <cellStyle name="Date" xfId="13"/>
    <cellStyle name="Titre 4" xfId="14" builtinId="19"/>
    <cellStyle name="Total" xfId="15" builtinId="25"/>
    <cellStyle name="Heure" xfId="16"/>
    <cellStyle name="Heures" xfId="17"/>
    <cellStyle name="Téléphone" xfId="18"/>
    <cellStyle name="Lien hypertexte visité" xfId="19" builtinId="9"/>
    <cellStyle name="Satisfaisant" xfId="20" builtinId="26"/>
    <cellStyle name="Insatisfaisant" xfId="21" builtinId="27"/>
    <cellStyle name="Neutre" xfId="22" builtinId="28"/>
    <cellStyle name="Entrée" xfId="23" builtinId="20"/>
    <cellStyle name="Sortie" xfId="24" builtinId="21"/>
    <cellStyle name="Calcul" xfId="25" builtinId="22"/>
    <cellStyle name="Cellule liée" xfId="26" builtinId="24"/>
    <cellStyle name="Vérification" xfId="27" builtinId="23"/>
    <cellStyle name="Avertissement" xfId="28" builtinId="11"/>
    <cellStyle name="Note" xfId="29" builtinId="10"/>
    <cellStyle name="Texte explicatif" xfId="30" builtinId="53"/>
    <cellStyle name="Accent1" xfId="31" builtinId="29"/>
    <cellStyle name="20 % - Accent1" xfId="32" builtinId="30"/>
    <cellStyle name="40 % - Accent1" xfId="33" builtinId="31"/>
    <cellStyle name="60 % - Accent1" xfId="34" builtinId="32"/>
    <cellStyle name="Accent2" xfId="35" builtinId="33"/>
    <cellStyle name="20 % - Accent2" xfId="36" builtinId="34"/>
    <cellStyle name="40 % - Accent2" xfId="37" builtinId="35"/>
    <cellStyle name="60 % - Accent2" xfId="38" builtinId="36"/>
    <cellStyle name="Accent3" xfId="39" builtinId="37"/>
    <cellStyle name="20 % - Accent3" xfId="40" builtinId="38"/>
    <cellStyle name="40 % - Accent3" xfId="41" builtinId="39"/>
    <cellStyle name="60 % - Accent3" xfId="42" builtinId="40"/>
    <cellStyle name="Accent4" xfId="43" builtinId="41"/>
    <cellStyle name="20 % - Accent4" xfId="44" builtinId="42"/>
    <cellStyle name="40 % - Accent4" xfId="45" builtinId="43"/>
    <cellStyle name="60 % - Accent4" xfId="46" builtinId="44"/>
    <cellStyle name="Accent5" xfId="47" builtinId="45"/>
    <cellStyle name="20 % - Accent5" xfId="48" builtinId="46"/>
    <cellStyle name="40 % - Accent5" xfId="49" builtinId="47"/>
    <cellStyle name="60 % - Accent5" xfId="50" builtinId="48"/>
    <cellStyle name="Accent6" xfId="51" builtinId="49"/>
    <cellStyle name="20 % - Accent6" xfId="52" builtinId="50"/>
    <cellStyle name="40 % - Accent6" xfId="53" builtinId="51"/>
    <cellStyle name="60 % - Accent6" xfId="54" builtinId="52"/>
  </cellStyles>
  <dxfs count="1054"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 outline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1499679555650502"/>
        </patternFill>
      </fill>
    </dxf>
    <dxf>
      <font>
        <b val="1"/>
      </font>
      <fill>
        <patternFill>
          <bgColor theme="0" tint="-0.1499679555650502"/>
        </patternFill>
      </fill>
    </dxf>
    <dxf>
      <font>
        <b val="1"/>
        <color theme="1"/>
      </font>
      <fill>
        <patternFill>
          <bgColor theme="0" tint="-0.1499679555650502"/>
        </patternFill>
      </fill>
    </dxf>
    <dxf>
      <font>
        <color theme="1" tint="0.3499862666707358"/>
      </font>
      <border>
        <left style="thin">
          <color theme="1" tint="0.3499862666707358"/>
        </left>
        <right style="thin">
          <color theme="1" tint="0.3499862666707358"/>
        </right>
        <top style="thin">
          <color theme="1" tint="0.3499862666707358"/>
        </top>
        <bottom style="thin">
          <color theme="1" tint="0.3499862666707358"/>
        </bottom>
        <vertical style="thin">
          <color theme="1" tint="0.3499862666707358"/>
        </vertical>
        <horizontal style="thin">
          <color theme="1" tint="0.3499862666707358"/>
        </horizontal>
      </border>
    </dxf>
  </dxfs>
  <tableStyles count="1" defaultTableStyle="TableStyleMedium2" defaultPivotStyle="PivotStyleLight16">
    <tableStyle name="Feuille de temps hebdomadaire" pivot="0" count="6">
      <tableStyleElement type="wholeTable" dxfId="1053"/>
      <tableStyleElement type="headerRow" dxfId="1052"/>
      <tableStyleElement type="firstColumn" dxfId="1051"/>
      <tableStyleElement type="lastColumn" dxfId="1050"/>
      <tableStyleElement type="firstColumnStripe" dxfId="1049"/>
      <tableStyleElement type="secondColumnStripe" dxfId="104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6896CE"/>
      <rgbColor rgb="00FFFF00"/>
      <rgbColor rgb="00FF00FF"/>
      <rgbColor rgb="0000FFFF"/>
      <rgbColor rgb="00800000"/>
      <rgbColor rgb="00547D92"/>
      <rgbColor rgb="00C2D5E0"/>
      <rgbColor rgb="0037525F"/>
      <rgbColor rgb="00BCBCBC"/>
      <rgbColor rgb="00008080"/>
      <rgbColor rgb="00E0E0E0"/>
      <rgbColor rgb="0096969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EFCF2"/>
      <rgbColor rgb="00CCFFCC"/>
      <rgbColor rgb="00FFE7BD"/>
      <rgbColor rgb="00FCFAF2"/>
      <rgbColor rgb="00FF99CC"/>
      <rgbColor rgb="00EAEAEA"/>
      <rgbColor rgb="00FDF7DF"/>
      <rgbColor rgb="003366FF"/>
      <rgbColor rgb="0033CCCC"/>
      <rgbColor rgb="0099CC00"/>
      <rgbColor rgb="00FFCC00"/>
      <rgbColor rgb="00FF9900"/>
      <rgbColor rgb="00FF6600"/>
      <rgbColor rgb="00FBF8EF"/>
      <rgbColor rgb="00CFCFCF"/>
      <rgbColor rgb="00315D71"/>
      <rgbColor rgb="00339966"/>
      <rgbColor rgb="00739ED3"/>
      <rgbColor rgb="00ECF5D7"/>
      <rgbColor rgb="00993300"/>
      <rgbColor rgb="00993366"/>
      <rgbColor rgb="00F1F6F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imeSheet" displayName="TimeSheet" ref="B11:K18" headerRowCount="1" headerRowDxfId="916" dataDxfId="915" totalsRowDxfId="914">
  <autoFilter ref="B11:K18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</autoFilter>
  <tableColumns count="10">
    <tableColumn id="1" name="Jour" totalsRowLabel="Total" dataDxfId="913"/>
    <tableColumn id="2" name="Arrivée" dataDxfId="912" totalsRowDxfId="911" dataCellStyle="Heure"/>
    <tableColumn id="3" name="Départ" dataDxfId="910" totalsRowDxfId="909" dataCellStyle="Heure"/>
    <tableColumn id="4" name="Arrivée " dataDxfId="908" totalsRowDxfId="907" dataCellStyle="Heure"/>
    <tableColumn id="5" name="Départ " dataDxfId="906" totalsRowDxfId="905" dataCellStyle="Heure"/>
    <tableColumn id="6" name="Heures effectuées" dataDxfId="904" totalsRowDxfId="903" dataCellStyle="Heures">
      <calculatedColumnFormula>(D12-C12)+(F12-E12)</calculatedColumnFormula>
    </tableColumn>
    <tableColumn id="7" name="Heures supplémentaires" dataDxfId="902" totalsRowDxfId="901" dataCellStyle="Heures">
      <calculatedColumnFormula>8.5-TimeSheet[[#This Row],[Heures effectuées]]</calculatedColumnFormula>
    </tableColumn>
    <tableColumn id="8" name="Heures d’arrêt maladie" dataDxfId="900" totalsRowDxfId="899" dataCellStyle="Heures"/>
    <tableColumn id="9" name="Heures de congés" dataDxfId="898" totalsRowDxfId="897" dataCellStyle="Heures"/>
    <tableColumn id="10" name="Total" totalsRowFunction="sum" dataDxfId="896" totalsRowDxfId="895" dataCellStyle="Heures">
      <calculatedColumnFormula>IFERROR(SUM(G12:J12), "")</calculatedColumnFormula>
    </tableColumn>
  </tableColumns>
  <tableStyleInfo name="Feuille de temps hebdomadaire" showFirstColumn="1" showLastColumn="1" showRowStripes="0" showColumnStripes="1"/>
</table>
</file>

<file path=xl/tables/table2.xml><?xml version="1.0" encoding="utf-8"?>
<table xmlns="http://schemas.openxmlformats.org/spreadsheetml/2006/main" id="2" name="TimeSheet3" displayName="TimeSheet3" ref="B20:K27" headerRowCount="1" headerRowDxfId="894" dataDxfId="893" totalsRowDxfId="892">
  <autoFilter ref="B20:K27"/>
  <tableColumns count="10">
    <tableColumn id="1" name="Jour" totalsRowLabel="Total" dataDxfId="891"/>
    <tableColumn id="2" name="Arrivée" dataDxfId="890" totalsRowDxfId="889" dataCellStyle="Heure"/>
    <tableColumn id="3" name="Départ" dataDxfId="888" totalsRowDxfId="887" dataCellStyle="Heure"/>
    <tableColumn id="4" name="Arrivée " dataDxfId="886" totalsRowDxfId="885" dataCellStyle="Heure"/>
    <tableColumn id="5" name="Départ " dataDxfId="884" totalsRowDxfId="883" dataCellStyle="Heure"/>
    <tableColumn id="6" name="Heures normales" dataDxfId="882" totalsRowDxfId="881" dataCellStyle="Heures">
      <calculatedColumnFormula>(D21-C21)+(F21-E21)</calculatedColumnFormula>
    </tableColumn>
    <tableColumn id="7" name="Heures supplémentaires" dataDxfId="880" totalsRowDxfId="879" dataCellStyle="Heures">
      <calculatedColumnFormula>ABS((G21-E1)*24)</calculatedColumnFormula>
    </tableColumn>
    <tableColumn id="8" name="Heures d’arrêt maladie" dataDxfId="878" totalsRowDxfId="877" dataCellStyle="Heures"/>
    <tableColumn id="9" name="Heures de congés" dataDxfId="876" totalsRowDxfId="875" dataCellStyle="Heures"/>
    <tableColumn id="10" name="Total" totalsRowFunction="sum" dataDxfId="874" totalsRowDxfId="873" dataCellStyle="Heures">
      <calculatedColumnFormula>IFERROR(SUM(G21:J21), "")</calculatedColumnFormula>
    </tableColumn>
  </tableColumns>
  <tableStyleInfo name="Feuille de temps hebdomadaire" showFirstColumn="1" showLastColumn="1" showRowStripes="0" showColumnStripes="1"/>
</table>
</file>

<file path=xl/tables/table3.xml><?xml version="1.0" encoding="utf-8"?>
<table xmlns="http://schemas.openxmlformats.org/spreadsheetml/2006/main" id="3" name="TimeSheet34" displayName="TimeSheet34" ref="B29:K36" headerRowCount="1" headerRowDxfId="872" dataDxfId="871" totalsRowDxfId="870">
  <autoFilter ref="B29:K36"/>
  <tableColumns count="10">
    <tableColumn id="1" name="Jour" totalsRowLabel="Total" dataDxfId="869"/>
    <tableColumn id="2" name="Arrivée" dataDxfId="868" totalsRowDxfId="867" dataCellStyle="Heure"/>
    <tableColumn id="3" name="Départ" dataDxfId="866" totalsRowDxfId="865" dataCellStyle="Heure"/>
    <tableColumn id="4" name="Arrivée " dataDxfId="864" totalsRowDxfId="863" dataCellStyle="Heure"/>
    <tableColumn id="5" name="Départ " dataDxfId="862" totalsRowDxfId="861" dataCellStyle="Heure"/>
    <tableColumn id="6" name="Heures normales" dataDxfId="860" totalsRowDxfId="859" dataCellStyle="Heures">
      <calculatedColumnFormula>(D30-C30)+(F30-E30)</calculatedColumnFormula>
    </tableColumn>
    <tableColumn id="7" name="Heures supplémentaires" dataDxfId="858" dataCellStyle="Heures">
      <calculatedColumnFormula>IFERROR(IF(((D30-C30)+(F30-E30))*24&gt;8,((D30-C30)+(F30-E30))*24-8,0), "")</calculatedColumnFormula>
    </tableColumn>
    <tableColumn id="8" name="Heures d’arrêt maladie" dataDxfId="857" totalsRowDxfId="856" dataCellStyle="Heures"/>
    <tableColumn id="9" name="Heures de congés" dataDxfId="855" totalsRowDxfId="854" dataCellStyle="Heures"/>
    <tableColumn id="10" name="Total" totalsRowFunction="sum" dataDxfId="853" totalsRowDxfId="852" dataCellStyle="Heures">
      <calculatedColumnFormula>IFERROR(SUM(G30:J30), "")</calculatedColumnFormula>
    </tableColumn>
  </tableColumns>
  <tableStyleInfo name="Feuille de temps hebdomadaire" showFirstColumn="1" showLastColumn="1" showRowStripes="0" showColumnStripes="1"/>
</table>
</file>

<file path=xl/tables/table4.xml><?xml version="1.0" encoding="utf-8"?>
<table xmlns="http://schemas.openxmlformats.org/spreadsheetml/2006/main" id="4" name="TimeSheet35" displayName="TimeSheet35" ref="B38:K45" headerRowCount="1" headerRowDxfId="851" dataDxfId="850" totalsRowDxfId="849">
  <autoFilter ref="B38:K45"/>
  <tableColumns count="10">
    <tableColumn id="1" name="Jour" totalsRowLabel="Total" dataDxfId="848"/>
    <tableColumn id="2" name="Arrivée" dataDxfId="847" totalsRowDxfId="846" dataCellStyle="Heure"/>
    <tableColumn id="3" name="Départ" dataDxfId="845" totalsRowDxfId="844" dataCellStyle="Heure"/>
    <tableColumn id="4" name="Arrivée " dataDxfId="843" totalsRowDxfId="842" dataCellStyle="Heure"/>
    <tableColumn id="5" name="Départ " dataDxfId="841" totalsRowDxfId="840" dataCellStyle="Heure"/>
    <tableColumn id="6" name="Heures normales" dataDxfId="839" totalsRowDxfId="838" dataCellStyle="Heures">
      <calculatedColumnFormula>(D39-C39)+(F39-E39)</calculatedColumnFormula>
    </tableColumn>
    <tableColumn id="7" name="Heures supplémentaires" dataDxfId="837" totalsRowDxfId="836" dataCellStyle="Heures">
      <calculatedColumnFormula>(G39-E1)*24</calculatedColumnFormula>
    </tableColumn>
    <tableColumn id="8" name="Heures d’arrêt maladie" dataDxfId="835" totalsRowDxfId="834" dataCellStyle="Heures"/>
    <tableColumn id="9" name="Heures de congés" dataDxfId="833" totalsRowDxfId="832" dataCellStyle="Heures"/>
    <tableColumn id="10" name="Total" totalsRowFunction="sum" dataDxfId="831" totalsRowDxfId="830" dataCellStyle="Heures">
      <calculatedColumnFormula>IFERROR(SUM(G39:J39), "")</calculatedColumnFormula>
    </tableColumn>
  </tableColumns>
  <tableStyleInfo name="Feuille de temps hebdomadaire" showFirstColumn="1" showLastColumn="1" showRowStripes="0" showColumnStripes="1"/>
</table>
</file>

<file path=xl/tables/table5.xml><?xml version="1.0" encoding="utf-8"?>
<table xmlns="http://schemas.openxmlformats.org/spreadsheetml/2006/main" id="5" name="TimeSheet36" displayName="TimeSheet36" ref="B47:K54" headerRowCount="1" headerRowDxfId="829" dataDxfId="828" totalsRowDxfId="827">
  <autoFilter ref="B47:K54"/>
  <tableColumns count="10">
    <tableColumn id="1" name="Jour" totalsRowLabel="Total" dataDxfId="826"/>
    <tableColumn id="2" name="Arrivée" dataDxfId="825" totalsRowDxfId="824" dataCellStyle="Heure"/>
    <tableColumn id="3" name="Départ" dataDxfId="823" totalsRowDxfId="822" dataCellStyle="Heure"/>
    <tableColumn id="4" name="Arrivée " dataDxfId="821" totalsRowDxfId="820" dataCellStyle="Heure"/>
    <tableColumn id="5" name="Départ " dataDxfId="819" totalsRowDxfId="818" dataCellStyle="Heure"/>
    <tableColumn id="6" name="Heures normales" dataDxfId="817" totalsRowDxfId="816" dataCellStyle="Heures">
      <calculatedColumnFormula>IFERROR(IF((((D48-C48)+(F48-E48))*24)&gt;8,8,((D48-C48)+(F48-E48))*24), "")</calculatedColumnFormula>
    </tableColumn>
    <tableColumn id="7" name="Colonne1" dataDxfId="815" totalsRowDxfId="814" dataCellStyle="Heures"/>
    <tableColumn id="8" name="Heures d’arrêt maladie" dataDxfId="813" totalsRowDxfId="812" dataCellStyle="Heures"/>
    <tableColumn id="9" name="Heures de congés" dataDxfId="811" totalsRowDxfId="810" dataCellStyle="Heures"/>
    <tableColumn id="10" name="Total" totalsRowFunction="sum" dataDxfId="809" totalsRowDxfId="808" dataCellStyle="Heures">
      <calculatedColumnFormula>IFERROR(SUM(G48:J48), "")</calculatedColumnFormula>
    </tableColumn>
  </tableColumns>
  <tableStyleInfo name="Feuille de temps hebdomadaire" showFirstColumn="1" showLastColumn="1" showRowStripes="0" showColumnStripes="1"/>
</table>
</file>

<file path=xl/tables/table6.xml><?xml version="1.0" encoding="utf-8"?>
<table xmlns="http://schemas.openxmlformats.org/spreadsheetml/2006/main" id="6" name="TimeSheet367" displayName="TimeSheet367" ref="B56:K63" headerRowCount="1" headerRowDxfId="807" dataDxfId="806" totalsRowDxfId="805">
  <autoFilter ref="B56:K63"/>
  <tableColumns count="10">
    <tableColumn id="1" name="Jour" totalsRowLabel="Total" dataDxfId="804"/>
    <tableColumn id="2" name="Arrivée" dataDxfId="803" totalsRowDxfId="802" dataCellStyle="Heure"/>
    <tableColumn id="3" name="Départ" dataDxfId="801" totalsRowDxfId="800" dataCellStyle="Heure"/>
    <tableColumn id="4" name="Arrivée " dataDxfId="799" totalsRowDxfId="798" dataCellStyle="Heure"/>
    <tableColumn id="5" name="Départ " dataDxfId="797" totalsRowDxfId="796" dataCellStyle="Heure"/>
    <tableColumn id="6" name="Heures normales" dataDxfId="795" totalsRowDxfId="794" dataCellStyle="Heures">
      <calculatedColumnFormula>IFERROR(IF((((D57-C57)+(F57-E57))*24)&gt;8,8,((D57-C57)+(F57-E57))*24), "")</calculatedColumnFormula>
    </tableColumn>
    <tableColumn id="7" name="Colonne1" dataDxfId="793" totalsRowDxfId="792" dataCellStyle="Heures"/>
    <tableColumn id="8" name="Heures d’arrêt maladie" dataDxfId="791" totalsRowDxfId="790" dataCellStyle="Heures"/>
    <tableColumn id="9" name="Heures de congés" dataDxfId="789" totalsRowDxfId="788" dataCellStyle="Heures"/>
    <tableColumn id="10" name="Total" totalsRowFunction="sum" dataDxfId="787" totalsRowDxfId="786" dataCellStyle="Heures">
      <calculatedColumnFormula>IFERROR(SUM(G57:J57), "")</calculatedColumnFormula>
    </tableColumn>
  </tableColumns>
  <tableStyleInfo name="Feuille de temps hebdomadaire" showFirstColumn="1" showLastColumn="1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miguel@firstupconsultants.com" TargetMode="External" Id="rId1" /><Relationship Type="http://schemas.openxmlformats.org/officeDocument/2006/relationships/hyperlink" Target="mailto:first@firstupconsultants.com" TargetMode="External" Id="rId2" /><Relationship Type="http://schemas.openxmlformats.org/officeDocument/2006/relationships/table" Target="/xl/tables/table1.xml" Id="rId3" /><Relationship Type="http://schemas.openxmlformats.org/officeDocument/2006/relationships/table" Target="/xl/tables/table2.xml" Id="rId4" /><Relationship Type="http://schemas.openxmlformats.org/officeDocument/2006/relationships/table" Target="/xl/tables/table3.xml" Id="rId5" /><Relationship Type="http://schemas.openxmlformats.org/officeDocument/2006/relationships/table" Target="/xl/tables/table4.xml" Id="rId6" /><Relationship Type="http://schemas.openxmlformats.org/officeDocument/2006/relationships/table" Target="/xl/tables/table5.xml" Id="rId7" /><Relationship Type="http://schemas.openxmlformats.org/officeDocument/2006/relationships/table" Target="/xl/tables/table6.xml" Id="rId8" /></Relationships>
</file>

<file path=xl/worksheets/sheet1.xml><?xml version="1.0" encoding="utf-8"?>
<worksheet xmlns="http://schemas.openxmlformats.org/spreadsheetml/2006/main">
  <sheetPr>
    <tabColor theme="0" tint="-0.1499984740745262"/>
    <outlinePr summaryBelow="1" summaryRight="1"/>
    <pageSetUpPr fitToPage="1"/>
  </sheetPr>
  <dimension ref="B1:K73"/>
  <sheetViews>
    <sheetView showGridLines="0" showZeros="0" topLeftCell="A33" zoomScaleNormal="100" workbookViewId="0">
      <selection activeCell="G66" sqref="G66"/>
    </sheetView>
  </sheetViews>
  <sheetFormatPr baseColWidth="10" defaultColWidth="9" defaultRowHeight="30" customHeight="1"/>
  <cols>
    <col width="2.625" customWidth="1" style="2" min="1" max="1"/>
    <col width="30" customWidth="1" style="2" min="2" max="2"/>
    <col width="17.75" customWidth="1" style="2" min="3" max="6"/>
    <col width="20.25" bestFit="1" customWidth="1" style="2" min="7" max="7"/>
    <col width="27" bestFit="1" customWidth="1" style="2" min="8" max="8"/>
    <col width="17.75" customWidth="1" style="2" min="9" max="9"/>
    <col width="26" customWidth="1" style="2" min="10" max="10"/>
    <col width="30.625" customWidth="1" style="2" min="11" max="11"/>
    <col width="2.625" customWidth="1" style="2" min="12" max="12"/>
    <col width="9" customWidth="1" style="2" min="13" max="16384"/>
  </cols>
  <sheetData>
    <row r="1" ht="13.5" customHeight="1" s="58">
      <c r="B1" s="57" t="inlineStr">
        <is>
          <t>Feuille de temps hebdomadaire</t>
        </is>
      </c>
    </row>
    <row r="2" ht="35.1" customHeight="1" s="58">
      <c r="B2" s="3" t="n"/>
      <c r="E2" s="4" t="n">
        <v>0.3541666666666667</v>
      </c>
      <c r="F2" s="4" t="n">
        <v>0.2083333333333333</v>
      </c>
    </row>
    <row r="3" hidden="1" ht="30" customHeight="1" s="58">
      <c r="B3" s="5" t="inlineStr">
        <is>
          <t>Adresse postale :</t>
        </is>
      </c>
      <c r="C3" s="56" t="n"/>
      <c r="D3" s="59" t="n"/>
      <c r="E3" s="59" t="n"/>
      <c r="F3" s="59" t="n"/>
      <c r="G3" s="59" t="n"/>
      <c r="H3" s="59" t="n"/>
      <c r="J3" s="5" t="inlineStr">
        <is>
          <t>Fin de la semaine :</t>
        </is>
      </c>
      <c r="K3" s="7" t="n"/>
    </row>
    <row r="4" hidden="1" ht="30" customHeight="1" s="58">
      <c r="B4" s="5" t="inlineStr">
        <is>
          <t>Adresse 2 :</t>
        </is>
      </c>
      <c r="C4" s="56" t="n"/>
      <c r="D4" s="59" t="n"/>
      <c r="E4" s="59" t="n"/>
      <c r="F4" s="59" t="n"/>
      <c r="G4" s="59" t="n"/>
      <c r="H4" s="59" t="n"/>
      <c r="J4" s="5" t="n"/>
    </row>
    <row r="5" hidden="1" ht="30" customHeight="1" s="58">
      <c r="B5" s="5" t="inlineStr">
        <is>
          <t>Adresse 3 :</t>
        </is>
      </c>
      <c r="C5" s="56" t="n"/>
      <c r="D5" s="59" t="n"/>
      <c r="E5" s="59" t="n"/>
      <c r="F5" s="59" t="n"/>
      <c r="G5" s="59" t="n"/>
      <c r="H5" s="59" t="n"/>
      <c r="J5" s="5" t="inlineStr">
        <is>
          <t>Employé :</t>
        </is>
      </c>
      <c r="K5" s="56" t="n"/>
    </row>
    <row r="6" hidden="1" ht="30" customHeight="1" s="58">
      <c r="B6" s="5" t="inlineStr">
        <is>
          <t>Code postal, Ville :</t>
        </is>
      </c>
      <c r="C6" s="56" t="n"/>
      <c r="D6" s="59" t="n"/>
      <c r="E6" s="59" t="n"/>
      <c r="F6" s="59" t="n"/>
      <c r="G6" s="59" t="n"/>
      <c r="H6" s="59" t="n"/>
      <c r="J6" s="5" t="inlineStr">
        <is>
          <t>Responsable :</t>
        </is>
      </c>
      <c r="K6" s="56" t="n"/>
    </row>
    <row r="7" hidden="1" ht="30" customHeight="1" s="58">
      <c r="B7" s="5" t="inlineStr">
        <is>
          <t>Téléphone :</t>
        </is>
      </c>
      <c r="C7" s="60" t="n"/>
      <c r="D7" s="59" t="n"/>
      <c r="E7" s="59" t="n"/>
      <c r="F7" s="59" t="n"/>
      <c r="G7" s="59" t="n"/>
      <c r="H7" s="59" t="n"/>
      <c r="J7" s="5" t="inlineStr">
        <is>
          <t>Numéro de téléphone de l’employé :</t>
        </is>
      </c>
      <c r="K7" s="60" t="n"/>
    </row>
    <row r="8" hidden="1" ht="30" customHeight="1" s="58">
      <c r="B8" s="5" t="inlineStr">
        <is>
          <t>Télécopie :</t>
        </is>
      </c>
      <c r="C8" s="60" t="n"/>
      <c r="D8" s="59" t="n"/>
      <c r="E8" s="59" t="n"/>
      <c r="F8" s="59" t="n"/>
      <c r="G8" s="59" t="n"/>
      <c r="H8" s="59" t="n"/>
      <c r="J8" s="5" t="inlineStr">
        <is>
          <t>Adresse e-mail de l’employé :</t>
        </is>
      </c>
      <c r="K8" s="55" t="n"/>
    </row>
    <row r="9" hidden="1" ht="30" customHeight="1" s="58">
      <c r="B9" s="5" t="inlineStr">
        <is>
          <t>E-mail :</t>
        </is>
      </c>
      <c r="C9" s="55" t="n"/>
      <c r="D9" s="59" t="n"/>
      <c r="E9" s="59" t="n"/>
      <c r="F9" s="59" t="n"/>
      <c r="G9" s="59" t="n"/>
      <c r="H9" s="59" t="n"/>
      <c r="J9" s="5" t="inlineStr">
        <is>
          <t>Identifiant fiscal :</t>
        </is>
      </c>
      <c r="K9" s="56" t="n"/>
    </row>
    <row r="10" ht="15" customHeight="1" s="58"/>
    <row r="11" ht="30" customHeight="1" s="58">
      <c r="B11" s="10" t="inlineStr">
        <is>
          <t>Jour</t>
        </is>
      </c>
      <c r="C11" s="10" t="inlineStr">
        <is>
          <t>Arrivée</t>
        </is>
      </c>
      <c r="D11" s="10" t="inlineStr">
        <is>
          <t>Départ</t>
        </is>
      </c>
      <c r="E11" s="10" t="inlineStr">
        <is>
          <t xml:space="preserve">Arrivée </t>
        </is>
      </c>
      <c r="F11" s="10" t="inlineStr">
        <is>
          <t xml:space="preserve">Départ </t>
        </is>
      </c>
      <c r="G11" s="11" t="inlineStr">
        <is>
          <t>Heures effectuées</t>
        </is>
      </c>
      <c r="H11" s="11" t="inlineStr">
        <is>
          <t>Heures supplémentaires</t>
        </is>
      </c>
      <c r="I11" s="11" t="inlineStr">
        <is>
          <t>Heures d’arrêt maladie</t>
        </is>
      </c>
      <c r="J11" s="10" t="inlineStr">
        <is>
          <t>Heures de congés</t>
        </is>
      </c>
      <c r="K11" s="10" t="inlineStr">
        <is>
          <t>Total</t>
        </is>
      </c>
    </row>
    <row r="12" ht="30" customHeight="1" s="58">
      <c r="B12" s="61" t="n"/>
      <c r="C12" s="13" t="n"/>
      <c r="D12" s="13" t="n"/>
      <c r="E12" s="13" t="n"/>
      <c r="F12" s="13" t="n"/>
      <c r="G12" s="14">
        <f>(D12-C12)+(F12-E12)</f>
        <v/>
      </c>
      <c r="H12" s="15">
        <f>(G12-E2)*24</f>
        <v/>
      </c>
      <c r="I12" s="15" t="n"/>
      <c r="J12" s="15" t="n"/>
      <c r="K12" s="15" t="n"/>
    </row>
    <row r="13" ht="30" customHeight="1" s="58">
      <c r="B13" s="61" t="n"/>
      <c r="C13" s="13" t="n"/>
      <c r="D13" s="13" t="n"/>
      <c r="E13" s="13" t="n"/>
      <c r="F13" s="13" t="n"/>
      <c r="G13" s="14">
        <f>(D13-C13)+(F13-E13)</f>
        <v/>
      </c>
      <c r="H13" s="15">
        <f>(G13-E2)*24</f>
        <v/>
      </c>
      <c r="I13" s="15" t="n"/>
      <c r="J13" s="15" t="n"/>
      <c r="K13" s="15" t="n"/>
    </row>
    <row r="14" ht="30" customHeight="1" s="58">
      <c r="B14" s="61" t="n"/>
      <c r="C14" s="13" t="n"/>
      <c r="D14" s="13" t="n"/>
      <c r="E14" s="13" t="n"/>
      <c r="F14" s="13" t="n"/>
      <c r="G14" s="14">
        <f>(D14-C14)+(F14-E14)</f>
        <v/>
      </c>
      <c r="H14" s="16">
        <f>(G14-E2)*24</f>
        <v/>
      </c>
      <c r="I14" s="15" t="n"/>
      <c r="J14" s="15" t="n"/>
      <c r="K14" s="15" t="inlineStr">
        <is>
          <t>(+) 1h</t>
        </is>
      </c>
    </row>
    <row r="15" ht="30" customHeight="1" s="58">
      <c r="B15" s="61" t="n"/>
      <c r="C15" s="13" t="n"/>
      <c r="D15" s="13" t="n"/>
      <c r="E15" s="13" t="n"/>
      <c r="F15" s="13" t="n"/>
      <c r="G15" s="14">
        <f>(D15-C15)+(F15-E15)</f>
        <v/>
      </c>
      <c r="H15" s="15">
        <f>(G15-E2)*24</f>
        <v/>
      </c>
      <c r="I15" s="15" t="n"/>
      <c r="J15" s="15" t="n"/>
      <c r="K15" s="15" t="n"/>
    </row>
    <row r="16" ht="30" customHeight="1" s="58">
      <c r="B16" s="61" t="n"/>
      <c r="C16" s="13" t="n"/>
      <c r="D16" s="13" t="n"/>
      <c r="E16" s="13" t="n"/>
      <c r="F16" s="13" t="n"/>
      <c r="G16" s="14">
        <f>(D16-C16)+(F16-E16)</f>
        <v/>
      </c>
      <c r="H16" s="15">
        <f>(G16-F2)*24</f>
        <v/>
      </c>
      <c r="I16" s="15" t="n"/>
      <c r="J16" s="15" t="n"/>
      <c r="K16" s="15" t="n"/>
    </row>
    <row r="17" ht="30" customHeight="1" s="58">
      <c r="B17" s="61" t="n"/>
      <c r="C17" s="13" t="n"/>
      <c r="D17" s="13" t="n"/>
      <c r="E17" s="13" t="n"/>
      <c r="F17" s="13" t="n"/>
      <c r="G17" s="17">
        <f>(D17-C17)+(F17-E17)</f>
        <v/>
      </c>
      <c r="H17" s="15">
        <f>ABS((G17-E6)*24)</f>
        <v/>
      </c>
      <c r="I17" s="15" t="n"/>
      <c r="J17" s="15" t="n"/>
      <c r="K17" s="15">
        <f>IFERROR(SUM(G17:J17), "")</f>
        <v/>
      </c>
    </row>
    <row r="18" ht="30" customHeight="1" s="58">
      <c r="B18" s="61" t="n"/>
      <c r="C18" s="13" t="n"/>
      <c r="D18" s="13" t="n"/>
      <c r="E18" s="13" t="n"/>
      <c r="F18" s="13" t="n"/>
      <c r="G18" s="17">
        <f>(D18-C18)+(F18-E18)</f>
        <v/>
      </c>
      <c r="H18" s="15">
        <f>ABS((G18-E7)*24)</f>
        <v/>
      </c>
      <c r="I18" s="15" t="n"/>
      <c r="J18" s="15" t="n"/>
      <c r="K18" s="15">
        <f>IFERROR(SUM(G18:J18), "")</f>
        <v/>
      </c>
    </row>
    <row r="19" ht="30" customHeight="1" s="58">
      <c r="F19" s="18" t="inlineStr">
        <is>
          <t>Nombre total d’heures</t>
        </is>
      </c>
      <c r="G19" s="19">
        <f>SUM(G12:G16)*24</f>
        <v/>
      </c>
      <c r="H19" s="20">
        <f>SUM(H12:H18)</f>
        <v/>
      </c>
      <c r="I19" s="19">
        <f>SUM(I12:I18)</f>
        <v/>
      </c>
      <c r="J19" s="19">
        <f>SUM(J12:J18)</f>
        <v/>
      </c>
      <c r="K19" s="21">
        <f>SUM(TimeSheet[Total])</f>
        <v/>
      </c>
    </row>
    <row r="20" ht="14.25" customHeight="1" s="58">
      <c r="B20" s="10" t="inlineStr">
        <is>
          <t>Jour</t>
        </is>
      </c>
      <c r="C20" s="10" t="inlineStr">
        <is>
          <t>Arrivée</t>
        </is>
      </c>
      <c r="D20" s="10" t="inlineStr">
        <is>
          <t>Départ</t>
        </is>
      </c>
      <c r="E20" s="10" t="inlineStr">
        <is>
          <t xml:space="preserve">Arrivée </t>
        </is>
      </c>
      <c r="F20" s="10" t="inlineStr">
        <is>
          <t xml:space="preserve">Départ </t>
        </is>
      </c>
      <c r="G20" s="11" t="inlineStr">
        <is>
          <t>Heures normales</t>
        </is>
      </c>
      <c r="H20" s="11" t="inlineStr">
        <is>
          <t>Heures supplémentaires</t>
        </is>
      </c>
      <c r="I20" s="11" t="inlineStr">
        <is>
          <t>Heures d’arrêt maladie</t>
        </is>
      </c>
      <c r="J20" s="10" t="inlineStr">
        <is>
          <t>Heures de congés</t>
        </is>
      </c>
      <c r="K20" s="10" t="inlineStr">
        <is>
          <t>Total</t>
        </is>
      </c>
    </row>
    <row r="21" ht="30" customHeight="1" s="58">
      <c r="B21" s="61" t="n">
        <v>45992</v>
      </c>
      <c r="C21" s="13" t="n">
        <v>0.3125</v>
      </c>
      <c r="D21" s="13" t="n">
        <v>0.5</v>
      </c>
      <c r="E21" s="13" t="n">
        <v>0.5625</v>
      </c>
      <c r="F21" s="13" t="n">
        <v>0.7291666666666666</v>
      </c>
      <c r="G21" s="14">
        <f>(D21-C21)+(F21-E21)</f>
        <v/>
      </c>
      <c r="H21" s="15">
        <f>(G21-E2)*24</f>
        <v/>
      </c>
      <c r="I21" s="15" t="n"/>
      <c r="J21" s="15" t="n"/>
      <c r="K21" s="15" t="n"/>
    </row>
    <row r="22" ht="30" customHeight="1" s="58">
      <c r="B22" s="61" t="n">
        <v>45993</v>
      </c>
      <c r="C22" s="13" t="n">
        <v>0.3125</v>
      </c>
      <c r="D22" s="13" t="n">
        <v>0.5</v>
      </c>
      <c r="E22" s="13" t="n">
        <v>0.5625</v>
      </c>
      <c r="F22" s="13" t="n">
        <v>0.7291666666666666</v>
      </c>
      <c r="G22" s="14">
        <f>(D22-C22)+(F22-E22)</f>
        <v/>
      </c>
      <c r="H22" s="15">
        <f>(G22-E2)*24</f>
        <v/>
      </c>
      <c r="I22" s="15" t="n"/>
      <c r="J22" s="15" t="n"/>
      <c r="K22" s="15" t="n"/>
    </row>
    <row r="23" ht="30" customHeight="1" s="58">
      <c r="B23" s="61" t="n">
        <v>45994</v>
      </c>
      <c r="C23" s="13" t="n">
        <v>0.3125</v>
      </c>
      <c r="D23" s="13" t="n">
        <v>0.5416666666666666</v>
      </c>
      <c r="E23" s="13" t="n">
        <v>0.5625</v>
      </c>
      <c r="F23" s="13" t="n">
        <v>0.7291666666666666</v>
      </c>
      <c r="G23" s="14">
        <f>(D23-C23)+(F23-E23)</f>
        <v/>
      </c>
      <c r="H23" s="16">
        <f>(G23-E2)*24</f>
        <v/>
      </c>
      <c r="I23" s="15" t="n"/>
      <c r="J23" s="15" t="n"/>
      <c r="K23" s="15" t="inlineStr">
        <is>
          <t>(+) 1h</t>
        </is>
      </c>
    </row>
    <row r="24" ht="30" customHeight="1" s="58">
      <c r="B24" s="61" t="n">
        <v>45995</v>
      </c>
      <c r="C24" s="13" t="n">
        <v>0.3125</v>
      </c>
      <c r="D24" s="13" t="n">
        <v>0.5</v>
      </c>
      <c r="E24" s="13" t="n">
        <v>0.5625</v>
      </c>
      <c r="F24" s="13" t="n">
        <v>0.7291666666666666</v>
      </c>
      <c r="G24" s="14">
        <f>(D24-C24)+(F24-E24)</f>
        <v/>
      </c>
      <c r="H24" s="15">
        <f>(G24-E2)*24</f>
        <v/>
      </c>
      <c r="I24" s="15" t="n"/>
      <c r="J24" s="15" t="n"/>
      <c r="K24" s="15" t="n"/>
    </row>
    <row r="25" ht="30" customHeight="1" s="58">
      <c r="B25" s="61" t="n">
        <v>45996</v>
      </c>
      <c r="C25" s="13" t="n">
        <v>0.2916666666666667</v>
      </c>
      <c r="D25" s="13" t="n">
        <v>0.5</v>
      </c>
      <c r="E25" s="13" t="n"/>
      <c r="F25" s="13" t="n"/>
      <c r="G25" s="14">
        <f>(D25-C25)+(F25-E25)</f>
        <v/>
      </c>
      <c r="H25" s="15">
        <f>(G25-F2)*24</f>
        <v/>
      </c>
      <c r="I25" s="15" t="n"/>
      <c r="J25" s="15" t="n"/>
      <c r="K25" s="15" t="n"/>
    </row>
    <row r="26" ht="30" customHeight="1" s="58">
      <c r="B26" s="61" t="n">
        <v>45997</v>
      </c>
      <c r="C26" s="13" t="n"/>
      <c r="D26" s="13" t="n"/>
      <c r="E26" s="13" t="n"/>
      <c r="F26" s="13" t="n"/>
      <c r="G26" s="17">
        <f>(D26-C26)+(F26-E26)</f>
        <v/>
      </c>
      <c r="H26" s="15">
        <f>ABS((G26-E6)*24)</f>
        <v/>
      </c>
      <c r="I26" s="15" t="n"/>
      <c r="J26" s="15" t="n"/>
      <c r="K26" s="15">
        <f>IFERROR(SUM(G26:J26), "")</f>
        <v/>
      </c>
    </row>
    <row r="27" ht="30" customHeight="1" s="58">
      <c r="B27" s="61" t="n">
        <v>45998</v>
      </c>
      <c r="C27" s="13" t="n"/>
      <c r="D27" s="13" t="n"/>
      <c r="E27" s="13" t="n"/>
      <c r="F27" s="13" t="n"/>
      <c r="G27" s="17">
        <f>(D27-C27)+(F27-E27)</f>
        <v/>
      </c>
      <c r="H27" s="15">
        <f>ABS((G27-E7)*24)</f>
        <v/>
      </c>
      <c r="I27" s="15" t="n"/>
      <c r="J27" s="15" t="n"/>
      <c r="K27" s="15">
        <f>IFERROR(SUM(G27:J27), "")</f>
        <v/>
      </c>
    </row>
    <row r="28" ht="30" customHeight="1" s="58">
      <c r="F28" s="18" t="inlineStr">
        <is>
          <t>Nombre total d’heures</t>
        </is>
      </c>
      <c r="G28" s="19">
        <f>SUM(G21:G27)*24</f>
        <v/>
      </c>
      <c r="H28" s="20">
        <f>SUM(H21:H27)</f>
        <v/>
      </c>
      <c r="I28" s="19">
        <f>SUM(I21:I27)</f>
        <v/>
      </c>
      <c r="J28" s="19">
        <f>SUM(J21:J27)</f>
        <v/>
      </c>
      <c r="K28" s="21">
        <f>SUM(TimeSheet3[Total])</f>
        <v/>
      </c>
    </row>
    <row r="29" ht="14.25" customHeight="1" s="58">
      <c r="B29" s="10" t="inlineStr">
        <is>
          <t>Jour</t>
        </is>
      </c>
      <c r="C29" s="10" t="inlineStr">
        <is>
          <t>Arrivée</t>
        </is>
      </c>
      <c r="D29" s="10" t="inlineStr">
        <is>
          <t>Départ</t>
        </is>
      </c>
      <c r="E29" s="10" t="inlineStr">
        <is>
          <t xml:space="preserve">Arrivée </t>
        </is>
      </c>
      <c r="F29" s="10" t="inlineStr">
        <is>
          <t xml:space="preserve">Départ </t>
        </is>
      </c>
      <c r="G29" s="11" t="inlineStr">
        <is>
          <t>Heures normales</t>
        </is>
      </c>
      <c r="H29" s="11" t="inlineStr">
        <is>
          <t>Heures supplémentaires</t>
        </is>
      </c>
      <c r="I29" s="11" t="inlineStr">
        <is>
          <t>Heures d’arrêt maladie</t>
        </is>
      </c>
      <c r="J29" s="10" t="inlineStr">
        <is>
          <t>Heures de congés</t>
        </is>
      </c>
      <c r="K29" s="10" t="inlineStr">
        <is>
          <t>Total</t>
        </is>
      </c>
    </row>
    <row r="30" ht="30" customHeight="1" s="58">
      <c r="B30" s="61" t="n">
        <v>45999</v>
      </c>
      <c r="C30" s="13" t="n">
        <v>0.3125</v>
      </c>
      <c r="D30" s="13" t="n">
        <v>0.5</v>
      </c>
      <c r="E30" s="13" t="n">
        <v>0.5625</v>
      </c>
      <c r="F30" s="13" t="n">
        <v>0.7291666666666666</v>
      </c>
      <c r="G30" s="14">
        <f>(D30-C30)+(F30-E30)</f>
        <v/>
      </c>
      <c r="H30" s="15">
        <f>(G30-E2)*24</f>
        <v/>
      </c>
      <c r="I30" s="15" t="n"/>
      <c r="J30" s="15" t="n"/>
      <c r="K30" s="15" t="n"/>
    </row>
    <row r="31" ht="30" customHeight="1" s="58">
      <c r="B31" s="61" t="n">
        <v>46000</v>
      </c>
      <c r="C31" s="13" t="n">
        <v>0.3125</v>
      </c>
      <c r="D31" s="13" t="n">
        <v>0.5</v>
      </c>
      <c r="E31" s="13" t="n">
        <v>0.5625</v>
      </c>
      <c r="F31" s="13" t="n">
        <v>0.7291666666666666</v>
      </c>
      <c r="G31" s="14">
        <f>(D31-C31)+(F31-E31)</f>
        <v/>
      </c>
      <c r="H31" s="15">
        <f>(G31-E2)*24</f>
        <v/>
      </c>
      <c r="I31" s="15" t="n"/>
      <c r="J31" s="15" t="n"/>
      <c r="K31" s="15" t="n"/>
    </row>
    <row r="32" ht="30" customHeight="1" s="58">
      <c r="B32" s="61" t="n">
        <v>46001</v>
      </c>
      <c r="C32" s="13" t="n">
        <v>0.3125</v>
      </c>
      <c r="D32" s="13" t="n">
        <v>0.5</v>
      </c>
      <c r="E32" s="13" t="n">
        <v>0.5625</v>
      </c>
      <c r="F32" s="13" t="n">
        <v>0.7291666666666666</v>
      </c>
      <c r="G32" s="14">
        <f>(D32-C32)+(F32-E32)</f>
        <v/>
      </c>
      <c r="H32" s="15">
        <f>(G32-E2)*24</f>
        <v/>
      </c>
      <c r="I32" s="15" t="n"/>
      <c r="J32" s="15" t="n"/>
      <c r="K32" s="15" t="n"/>
    </row>
    <row r="33" ht="30" customHeight="1" s="58">
      <c r="B33" s="61" t="n">
        <v>46002</v>
      </c>
      <c r="C33" s="13" t="n">
        <v>0.3125</v>
      </c>
      <c r="D33" s="13" t="n">
        <v>0.5</v>
      </c>
      <c r="E33" s="13" t="n">
        <v>0.5625</v>
      </c>
      <c r="F33" s="13" t="n">
        <v>0.7291666666666666</v>
      </c>
      <c r="G33" s="14">
        <f>(D33-C33)+(F33-E33)</f>
        <v/>
      </c>
      <c r="H33" s="15">
        <f>(G33-E2)*24</f>
        <v/>
      </c>
      <c r="I33" s="15" t="n"/>
      <c r="J33" s="15" t="n"/>
      <c r="K33" s="15" t="n"/>
    </row>
    <row r="34" ht="30" customHeight="1" s="58">
      <c r="B34" s="61" t="n">
        <v>46003</v>
      </c>
      <c r="C34" s="13" t="n">
        <v>0.2916666666666667</v>
      </c>
      <c r="D34" s="13" t="n">
        <v>0.5</v>
      </c>
      <c r="E34" s="13" t="n"/>
      <c r="F34" s="13" t="n"/>
      <c r="G34" s="14">
        <f>(D34-C34)+(F34-E34)</f>
        <v/>
      </c>
      <c r="H34" s="15">
        <f>(G34-F2)*24</f>
        <v/>
      </c>
      <c r="I34" s="15" t="n"/>
      <c r="J34" s="15" t="n"/>
      <c r="K34" s="15" t="n"/>
    </row>
    <row r="35" ht="30" customHeight="1" s="58">
      <c r="B35" s="61" t="n">
        <v>46004</v>
      </c>
      <c r="C35" s="13" t="n"/>
      <c r="D35" s="13" t="n"/>
      <c r="E35" s="13" t="n"/>
      <c r="F35" s="13" t="n"/>
      <c r="G35" s="17">
        <f>(D35-C35)+(F35-E35)</f>
        <v/>
      </c>
      <c r="H35" s="15" t="n"/>
      <c r="I35" s="15" t="n"/>
      <c r="J35" s="15" t="n"/>
      <c r="K35" s="15">
        <f>IFERROR(SUM(G35:J35), "")</f>
        <v/>
      </c>
    </row>
    <row r="36" ht="30" customHeight="1" s="58">
      <c r="B36" s="61" t="n">
        <v>46005</v>
      </c>
      <c r="C36" s="13" t="n"/>
      <c r="D36" s="13" t="n"/>
      <c r="E36" s="13" t="n"/>
      <c r="F36" s="13" t="n"/>
      <c r="G36" s="17">
        <f>(D36-C36)+(F36-E36)</f>
        <v/>
      </c>
      <c r="H36" s="15">
        <f>IFERROR(IF(((D36-C36)+(F36-E36))*24&gt;8,((D36-C36)+(F36-E36))*24-8,0), "")</f>
        <v/>
      </c>
      <c r="I36" s="15" t="n"/>
      <c r="J36" s="15" t="n"/>
      <c r="K36" s="15">
        <f>IFERROR(SUM(G36:J36), "")</f>
        <v/>
      </c>
    </row>
    <row r="37" ht="30" customHeight="1" s="58">
      <c r="F37" s="18" t="inlineStr">
        <is>
          <t>Nombre total d’heures</t>
        </is>
      </c>
      <c r="G37" s="19">
        <f>SUM(G30:G36)*24</f>
        <v/>
      </c>
      <c r="H37" s="20">
        <f>SUM(H30:H36)</f>
        <v/>
      </c>
      <c r="I37" s="19">
        <f>SUM(I30:I36)</f>
        <v/>
      </c>
      <c r="J37" s="19">
        <f>SUM(J30:J36)</f>
        <v/>
      </c>
      <c r="K37" s="21">
        <f>SUM(TimeSheet34[Total])</f>
        <v/>
      </c>
    </row>
    <row r="38" ht="14.25" customHeight="1" s="58">
      <c r="B38" s="10" t="inlineStr">
        <is>
          <t>Jour</t>
        </is>
      </c>
      <c r="C38" s="10" t="inlineStr">
        <is>
          <t>Arrivée</t>
        </is>
      </c>
      <c r="D38" s="10" t="inlineStr">
        <is>
          <t>Départ</t>
        </is>
      </c>
      <c r="E38" s="10" t="inlineStr">
        <is>
          <t xml:space="preserve">Arrivée </t>
        </is>
      </c>
      <c r="F38" s="10" t="inlineStr">
        <is>
          <t xml:space="preserve">Départ </t>
        </is>
      </c>
      <c r="G38" s="11" t="inlineStr">
        <is>
          <t>Heures normales</t>
        </is>
      </c>
      <c r="H38" s="11" t="inlineStr">
        <is>
          <t>Heures supplémentaires</t>
        </is>
      </c>
      <c r="I38" s="11" t="inlineStr">
        <is>
          <t>Heures d’arrêt maladie</t>
        </is>
      </c>
      <c r="J38" s="10" t="inlineStr">
        <is>
          <t>Heures de congés</t>
        </is>
      </c>
      <c r="K38" s="10" t="inlineStr">
        <is>
          <t>Total</t>
        </is>
      </c>
    </row>
    <row r="39" ht="30" customHeight="1" s="58">
      <c r="B39" s="61" t="n">
        <v>46006</v>
      </c>
      <c r="C39" s="13" t="n">
        <v>0.3125</v>
      </c>
      <c r="D39" s="13" t="n">
        <v>0.5</v>
      </c>
      <c r="E39" s="13" t="n">
        <v>0.5625</v>
      </c>
      <c r="F39" s="13" t="n">
        <v>0.7291666666666666</v>
      </c>
      <c r="G39" s="14">
        <f>(D39-C39)+(F39-E39)</f>
        <v/>
      </c>
      <c r="H39" s="15">
        <f>(G39-E2)*24</f>
        <v/>
      </c>
      <c r="I39" s="15" t="n"/>
      <c r="J39" s="15" t="n"/>
      <c r="K39" s="15" t="n"/>
    </row>
    <row r="40" ht="30" customHeight="1" s="58">
      <c r="B40" s="61" t="n">
        <v>46007</v>
      </c>
      <c r="C40" s="13" t="n">
        <v>0.3125</v>
      </c>
      <c r="D40" s="13" t="n">
        <v>0.5</v>
      </c>
      <c r="E40" s="13" t="n">
        <v>0.5625</v>
      </c>
      <c r="F40" s="13" t="n">
        <v>0.7291666666666666</v>
      </c>
      <c r="G40" s="14">
        <f>(D40-C40)+(F40-E40)</f>
        <v/>
      </c>
      <c r="H40" s="15">
        <f>(G40-E2)*24</f>
        <v/>
      </c>
      <c r="I40" s="15" t="n"/>
      <c r="J40" s="15" t="n"/>
      <c r="K40" s="15" t="n"/>
    </row>
    <row r="41" ht="30" customHeight="1" s="58">
      <c r="B41" s="61" t="n">
        <v>46008</v>
      </c>
      <c r="C41" s="13" t="n">
        <v>0.3125</v>
      </c>
      <c r="D41" s="13" t="n">
        <v>0.5</v>
      </c>
      <c r="E41" s="13" t="n">
        <v>0.5625</v>
      </c>
      <c r="F41" s="13" t="n">
        <v>0.7291666666666666</v>
      </c>
      <c r="G41" s="14">
        <f>(D41-C41)+(F41-E41)</f>
        <v/>
      </c>
      <c r="H41" s="15">
        <f>(G41-E2)*24</f>
        <v/>
      </c>
      <c r="I41" s="15" t="n"/>
      <c r="J41" s="15" t="n"/>
      <c r="K41" s="15" t="n"/>
    </row>
    <row r="42" ht="30" customHeight="1" s="58">
      <c r="B42" s="61" t="n">
        <v>46009</v>
      </c>
      <c r="C42" s="13" t="n">
        <v>0.3125</v>
      </c>
      <c r="D42" s="13" t="n">
        <v>0.5</v>
      </c>
      <c r="E42" s="13" t="n">
        <v>0.5625</v>
      </c>
      <c r="F42" s="13" t="n">
        <v>0.7291666666666666</v>
      </c>
      <c r="G42" s="14">
        <f>(D42-C42)+(F42-E42)</f>
        <v/>
      </c>
      <c r="H42" s="15">
        <f>(G42-E2)*24</f>
        <v/>
      </c>
      <c r="I42" s="15" t="n"/>
      <c r="J42" s="15" t="n"/>
      <c r="K42" s="15" t="n"/>
    </row>
    <row r="43" ht="30" customHeight="1" s="58">
      <c r="B43" s="61" t="n">
        <v>46010</v>
      </c>
      <c r="C43" s="13" t="n">
        <v>0.2916666666666667</v>
      </c>
      <c r="D43" s="13" t="n">
        <v>0.5</v>
      </c>
      <c r="E43" s="13" t="n"/>
      <c r="F43" s="13" t="n"/>
      <c r="G43" s="14">
        <f>(D43-C43)+(F43-E43)</f>
        <v/>
      </c>
      <c r="H43" s="15">
        <f>(G43-F2)*24</f>
        <v/>
      </c>
      <c r="I43" s="15" t="n"/>
      <c r="J43" s="15" t="n"/>
      <c r="K43" s="15" t="n"/>
    </row>
    <row r="44" ht="30" customHeight="1" s="58">
      <c r="B44" s="61" t="n">
        <v>46011</v>
      </c>
      <c r="C44" s="13" t="n"/>
      <c r="D44" s="13" t="n"/>
      <c r="E44" s="13" t="n"/>
      <c r="F44" s="13" t="n"/>
      <c r="G44" s="17">
        <f>(D44-C44)+(F44-E44)</f>
        <v/>
      </c>
      <c r="H44" s="15">
        <f>(G44-E6)*24</f>
        <v/>
      </c>
      <c r="I44" s="15" t="n"/>
      <c r="J44" s="15" t="n"/>
      <c r="K44" s="15" t="n"/>
    </row>
    <row r="45" ht="30" customHeight="1" s="58">
      <c r="B45" s="61" t="n">
        <v>46012</v>
      </c>
      <c r="C45" s="13" t="n"/>
      <c r="D45" s="13" t="n"/>
      <c r="E45" s="13" t="n"/>
      <c r="F45" s="13" t="n"/>
      <c r="G45" s="17">
        <f>(D45-C45)+(F45-E45)</f>
        <v/>
      </c>
      <c r="H45" s="15">
        <f>(G45-E7)*24</f>
        <v/>
      </c>
      <c r="I45" s="15" t="n"/>
      <c r="J45" s="15" t="n"/>
      <c r="K45" s="15">
        <f>IFERROR(SUM(G45:J45), "")</f>
        <v/>
      </c>
    </row>
    <row r="46" ht="30" customHeight="1" s="58">
      <c r="F46" s="18" t="inlineStr">
        <is>
          <t>Nombre total d’heures</t>
        </is>
      </c>
      <c r="G46" s="19">
        <f>SUM(G39:G45)*24</f>
        <v/>
      </c>
      <c r="H46" s="19" t="n"/>
      <c r="I46" s="19">
        <f>SUM(I39:I45)</f>
        <v/>
      </c>
      <c r="J46" s="19">
        <f>SUM(J39:J45)</f>
        <v/>
      </c>
      <c r="K46" s="21">
        <f>SUM(TimeSheet35[Total])</f>
        <v/>
      </c>
    </row>
    <row r="47" hidden="1" ht="14.25" customHeight="1" s="58">
      <c r="B47" s="10" t="inlineStr">
        <is>
          <t>Jour</t>
        </is>
      </c>
      <c r="C47" s="10" t="inlineStr">
        <is>
          <t>Arrivée</t>
        </is>
      </c>
      <c r="D47" s="10" t="inlineStr">
        <is>
          <t>Départ</t>
        </is>
      </c>
      <c r="E47" s="10" t="inlineStr">
        <is>
          <t xml:space="preserve">Arrivée </t>
        </is>
      </c>
      <c r="F47" s="10" t="inlineStr">
        <is>
          <t xml:space="preserve">Départ </t>
        </is>
      </c>
      <c r="G47" s="11" t="inlineStr">
        <is>
          <t>Heures normales</t>
        </is>
      </c>
      <c r="H47" s="11" t="inlineStr">
        <is>
          <t>Colonne1</t>
        </is>
      </c>
      <c r="I47" s="11" t="inlineStr">
        <is>
          <t>Heures d’arrêt maladie</t>
        </is>
      </c>
      <c r="J47" s="10" t="inlineStr">
        <is>
          <t>Heures de congés</t>
        </is>
      </c>
      <c r="K47" s="10" t="inlineStr">
        <is>
          <t>Total</t>
        </is>
      </c>
    </row>
    <row r="48" hidden="1" ht="30" customHeight="1" s="58">
      <c r="B48" s="61" t="n">
        <v>46013</v>
      </c>
      <c r="C48" s="13" t="n"/>
      <c r="D48" s="13" t="n"/>
      <c r="E48" s="13" t="n"/>
      <c r="F48" s="13" t="n"/>
      <c r="G48" s="17" t="n"/>
      <c r="H48" s="15" t="n"/>
      <c r="I48" s="15" t="n"/>
      <c r="J48" s="15" t="n"/>
      <c r="K48" s="15">
        <f>IFERROR(SUM(G48:J48), "")</f>
        <v/>
      </c>
    </row>
    <row r="49" hidden="1" ht="30" customHeight="1" s="58">
      <c r="B49" s="61" t="n">
        <v>46014</v>
      </c>
      <c r="C49" s="13" t="n"/>
      <c r="D49" s="13" t="n"/>
      <c r="E49" s="13" t="n"/>
      <c r="F49" s="13" t="n"/>
      <c r="G49" s="17">
        <f>IFERROR(IF((((D49-C49)+(F49-E49))*24)&gt;8,8,((D49-C49)+(F49-E49))*24), "")</f>
        <v/>
      </c>
      <c r="H49" s="15" t="n"/>
      <c r="I49" s="15" t="n"/>
      <c r="J49" s="15" t="n"/>
      <c r="K49" s="15">
        <f>IFERROR(SUM(G49:J49), "")</f>
        <v/>
      </c>
    </row>
    <row r="50" hidden="1" ht="30" customHeight="1" s="58">
      <c r="B50" s="61" t="n">
        <v>46015</v>
      </c>
      <c r="C50" s="13" t="n"/>
      <c r="D50" s="13" t="n"/>
      <c r="E50" s="13" t="n"/>
      <c r="F50" s="13" t="n"/>
      <c r="G50" s="17">
        <f>IFERROR(IF((((D50-C50)+(F50-E50))*24)&gt;8,8,((D50-C50)+(F50-E50))*24), "")</f>
        <v/>
      </c>
      <c r="H50" s="15" t="n"/>
      <c r="I50" s="15" t="n"/>
      <c r="J50" s="15" t="n"/>
      <c r="K50" s="15">
        <f>IFERROR(SUM(G50:J50), "")</f>
        <v/>
      </c>
    </row>
    <row r="51" hidden="1" ht="30" customHeight="1" s="58">
      <c r="B51" s="61" t="n">
        <v>46016</v>
      </c>
      <c r="C51" s="13" t="n"/>
      <c r="D51" s="13" t="n"/>
      <c r="E51" s="13" t="n"/>
      <c r="F51" s="13" t="n"/>
      <c r="G51" s="17">
        <f>IFERROR(IF((((D51-C51)+(F51-E51))*24)&gt;8,8,((D51-C51)+(F51-E51))*24), "")</f>
        <v/>
      </c>
      <c r="H51" s="15" t="n"/>
      <c r="I51" s="15" t="n"/>
      <c r="J51" s="15" t="n"/>
      <c r="K51" s="15">
        <f>IFERROR(SUM(G51:J51), "")</f>
        <v/>
      </c>
    </row>
    <row r="52" hidden="1" ht="30" customHeight="1" s="58">
      <c r="B52" s="61" t="n">
        <v>46017</v>
      </c>
      <c r="C52" s="13" t="n"/>
      <c r="D52" s="13" t="n"/>
      <c r="E52" s="13" t="n"/>
      <c r="F52" s="13" t="n"/>
      <c r="G52" s="17">
        <f>IFERROR(IF((((D52-C52)+(F52-E52))*24)&gt;8,8,((D52-C52)+(F52-E52))*24), "")</f>
        <v/>
      </c>
      <c r="H52" s="15" t="n"/>
      <c r="I52" s="15" t="n"/>
      <c r="J52" s="15" t="n"/>
      <c r="K52" s="15">
        <f>IFERROR(SUM(G52:J52), "")</f>
        <v/>
      </c>
    </row>
    <row r="53" hidden="1" ht="30" customHeight="1" s="58">
      <c r="B53" s="61" t="n">
        <v>46018</v>
      </c>
      <c r="C53" s="13" t="n"/>
      <c r="D53" s="13" t="n"/>
      <c r="E53" s="13" t="n"/>
      <c r="F53" s="13" t="n"/>
      <c r="G53" s="17">
        <f>IFERROR(IF((((D53-C53)+(F53-E53))*24)&gt;8,8,((D53-C53)+(F53-E53))*24), "")</f>
        <v/>
      </c>
      <c r="H53" s="15" t="n"/>
      <c r="I53" s="15" t="n"/>
      <c r="J53" s="15" t="n"/>
      <c r="K53" s="15">
        <f>IFERROR(SUM(G53:J53), "")</f>
        <v/>
      </c>
    </row>
    <row r="54" hidden="1" ht="30" customHeight="1" s="58">
      <c r="B54" s="61" t="n">
        <v>46019</v>
      </c>
      <c r="C54" s="13" t="n"/>
      <c r="D54" s="13" t="n"/>
      <c r="E54" s="13" t="n"/>
      <c r="F54" s="13" t="n"/>
      <c r="G54" s="17">
        <f>IFERROR(IF((((D54-C54)+(F54-E54))*24)&gt;8,8,((D54-C54)+(F54-E54))*24), "")</f>
        <v/>
      </c>
      <c r="H54" s="15" t="n"/>
      <c r="I54" s="15" t="n"/>
      <c r="J54" s="15" t="n"/>
      <c r="K54" s="15">
        <f>IFERROR(SUM(G54:J54), "")</f>
        <v/>
      </c>
    </row>
    <row r="55" hidden="1" ht="30" customHeight="1" s="58">
      <c r="F55" s="18" t="inlineStr">
        <is>
          <t>Nombre total d’heures</t>
        </is>
      </c>
      <c r="G55" s="19">
        <f>SUM(G48:G54)</f>
        <v/>
      </c>
      <c r="H55" s="19" t="n"/>
      <c r="I55" s="19">
        <f>SUM(I48:I54)</f>
        <v/>
      </c>
      <c r="J55" s="19">
        <f>SUM(J48:J54)</f>
        <v/>
      </c>
      <c r="K55" s="21">
        <f>SUM(TimeSheet36[Total])</f>
        <v/>
      </c>
    </row>
    <row r="56" hidden="1" ht="14.25" customHeight="1" s="58">
      <c r="B56" s="10" t="inlineStr">
        <is>
          <t>Jour</t>
        </is>
      </c>
      <c r="C56" s="10" t="inlineStr">
        <is>
          <t>Arrivée</t>
        </is>
      </c>
      <c r="D56" s="10" t="inlineStr">
        <is>
          <t>Départ</t>
        </is>
      </c>
      <c r="E56" s="10" t="inlineStr">
        <is>
          <t xml:space="preserve">Arrivée </t>
        </is>
      </c>
      <c r="F56" s="10" t="inlineStr">
        <is>
          <t xml:space="preserve">Départ </t>
        </is>
      </c>
      <c r="G56" s="11" t="inlineStr">
        <is>
          <t>Heures normales</t>
        </is>
      </c>
      <c r="H56" s="11" t="inlineStr">
        <is>
          <t>Colonne1</t>
        </is>
      </c>
      <c r="I56" s="11" t="inlineStr">
        <is>
          <t>Heures d’arrêt maladie</t>
        </is>
      </c>
      <c r="J56" s="10" t="inlineStr">
        <is>
          <t>Heures de congés</t>
        </is>
      </c>
      <c r="K56" s="10" t="inlineStr">
        <is>
          <t>Total</t>
        </is>
      </c>
    </row>
    <row r="57" hidden="1" ht="30" customHeight="1" s="58">
      <c r="B57" s="61" t="n">
        <v>46020</v>
      </c>
      <c r="C57" s="13" t="n">
        <v>0.2916666666666667</v>
      </c>
      <c r="D57" s="13" t="n">
        <v>0.5208333333333334</v>
      </c>
      <c r="E57" s="13" t="n">
        <v>0.5416666666666666</v>
      </c>
      <c r="F57" s="13" t="n">
        <v>0.6666666666666666</v>
      </c>
      <c r="G57" s="17">
        <f>IFERROR(IF((((D57-C57)+(F57-E57))*24)&gt;8,8,((D57-C57)+(F57-E57))*24), "")</f>
        <v/>
      </c>
      <c r="H57" s="15" t="n"/>
      <c r="I57" s="15" t="n"/>
      <c r="J57" s="15" t="n"/>
      <c r="K57" s="15" t="n"/>
    </row>
    <row r="58" hidden="1" ht="30" customHeight="1" s="58">
      <c r="B58" s="61" t="n">
        <v>46021</v>
      </c>
      <c r="C58" s="13" t="n"/>
      <c r="D58" s="13" t="n"/>
      <c r="E58" s="13" t="n"/>
      <c r="F58" s="13" t="n"/>
      <c r="G58" s="17">
        <f>IFERROR(IF((((D58-C58)+(F58-E58))*24)&gt;8,8,((D58-C58)+(F58-E58))*24), "")</f>
        <v/>
      </c>
      <c r="H58" s="15" t="n"/>
      <c r="I58" s="15" t="n"/>
      <c r="J58" s="15" t="n"/>
      <c r="K58" s="15">
        <f>IFERROR(SUM(G58:J58), "")</f>
        <v/>
      </c>
    </row>
    <row r="59" hidden="1" ht="30" customHeight="1" s="58">
      <c r="B59" s="61" t="n">
        <v>46022</v>
      </c>
      <c r="C59" s="13" t="n"/>
      <c r="D59" s="13" t="n"/>
      <c r="E59" s="13" t="n"/>
      <c r="F59" s="13" t="n"/>
      <c r="G59" s="17">
        <f>IFERROR(IF((((D59-C59)+(F59-E59))*24)&gt;8,8,((D59-C59)+(F59-E59))*24), "")</f>
        <v/>
      </c>
      <c r="H59" s="15" t="n"/>
      <c r="I59" s="15" t="n"/>
      <c r="J59" s="15" t="n"/>
      <c r="K59" s="15">
        <f>IFERROR(SUM(G59:J59), "")</f>
        <v/>
      </c>
    </row>
    <row r="60" hidden="1" ht="30" customHeight="1" s="58">
      <c r="B60" s="61" t="n"/>
      <c r="C60" s="13" t="n"/>
      <c r="D60" s="13" t="n"/>
      <c r="E60" s="13" t="n"/>
      <c r="F60" s="13" t="n"/>
      <c r="G60" s="17">
        <f>IFERROR(IF((((D60-C60)+(F60-E60))*24)&gt;8,8,((D60-C60)+(F60-E60))*24), "")</f>
        <v/>
      </c>
      <c r="H60" s="15" t="n"/>
      <c r="I60" s="15" t="n"/>
      <c r="J60" s="15" t="n"/>
      <c r="K60" s="15">
        <f>IFERROR(SUM(G60:J60), "")</f>
        <v/>
      </c>
    </row>
    <row r="61" hidden="1" ht="30" customHeight="1" s="58">
      <c r="B61" s="61" t="n"/>
      <c r="C61" s="13" t="n"/>
      <c r="D61" s="13" t="n"/>
      <c r="E61" s="13" t="n"/>
      <c r="F61" s="13" t="n"/>
      <c r="G61" s="17">
        <f>IFERROR(IF((((D61-C61)+(F61-E61))*24)&gt;8,8,((D61-C61)+(F61-E61))*24), "")</f>
        <v/>
      </c>
      <c r="H61" s="15" t="n"/>
      <c r="I61" s="15" t="n"/>
      <c r="J61" s="15" t="n"/>
      <c r="K61" s="15">
        <f>IFERROR(SUM(G61:J61), "")</f>
        <v/>
      </c>
    </row>
    <row r="62" hidden="1" ht="30" customHeight="1" s="58">
      <c r="B62" s="61" t="n"/>
      <c r="C62" s="13" t="n"/>
      <c r="D62" s="13" t="n"/>
      <c r="E62" s="13" t="n"/>
      <c r="F62" s="13" t="n"/>
      <c r="G62" s="17">
        <f>IFERROR(IF((((D62-C62)+(F62-E62))*24)&gt;8,8,((D62-C62)+(F62-E62))*24), "")</f>
        <v/>
      </c>
      <c r="H62" s="15" t="n"/>
      <c r="I62" s="15" t="n"/>
      <c r="J62" s="15" t="n"/>
      <c r="K62" s="15">
        <f>IFERROR(SUM(G62:J62), "")</f>
        <v/>
      </c>
    </row>
    <row r="63" hidden="1" ht="30" customHeight="1" s="58">
      <c r="B63" s="61" t="n"/>
      <c r="C63" s="13" t="n"/>
      <c r="D63" s="13" t="n"/>
      <c r="E63" s="13" t="n"/>
      <c r="F63" s="13" t="n"/>
      <c r="G63" s="17">
        <f>IFERROR(IF((((D63-C63)+(F63-E63))*24)&gt;8,8,((D63-C63)+(F63-E63))*24), "")</f>
        <v/>
      </c>
      <c r="H63" s="15" t="n"/>
      <c r="I63" s="15" t="n"/>
      <c r="J63" s="15" t="n"/>
      <c r="K63" s="15">
        <f>IFERROR(SUM(G63:J63), "")</f>
        <v/>
      </c>
    </row>
    <row r="64" ht="30" customHeight="1" s="58">
      <c r="F64" s="18" t="inlineStr">
        <is>
          <t>Nombre total d’heures</t>
        </is>
      </c>
      <c r="G64" s="19">
        <f>H19+H28+H37+H46</f>
        <v/>
      </c>
      <c r="H64" s="19" t="n"/>
      <c r="I64" s="19">
        <f>SUM(I57:I63)</f>
        <v/>
      </c>
      <c r="J64" s="19">
        <f>SUM(J57:J63)</f>
        <v/>
      </c>
      <c r="K64" s="21">
        <f>SUM(TimeSheet367[Total])</f>
        <v/>
      </c>
    </row>
    <row r="65" ht="30" customHeight="1" s="58">
      <c r="F65" s="22" t="inlineStr">
        <is>
          <t>Heures M-1</t>
        </is>
      </c>
      <c r="G65" s="23" t="n">
        <v>-3</v>
      </c>
      <c r="H65" s="62" t="n"/>
      <c r="I65" s="62" t="n"/>
      <c r="J65" s="62" t="n"/>
      <c r="K65" s="63" t="n"/>
    </row>
    <row r="66" ht="30" customHeight="1" s="58">
      <c r="F66" s="22" t="inlineStr">
        <is>
          <t>Reste heures</t>
        </is>
      </c>
      <c r="G66" s="64">
        <f>G65+G64</f>
        <v/>
      </c>
      <c r="H66" s="65" t="n"/>
      <c r="I66" s="65">
        <f>I19*I65</f>
        <v/>
      </c>
      <c r="J66" s="65">
        <f>J19*J65</f>
        <v/>
      </c>
      <c r="K66" s="65">
        <f>SUM(G66:J66)</f>
        <v/>
      </c>
    </row>
    <row r="73" ht="30" customHeight="1" s="58">
      <c r="I73" s="2" t="inlineStr">
        <is>
          <t>#</t>
        </is>
      </c>
    </row>
  </sheetData>
  <mergeCells count="8">
    <mergeCell ref="C6:H6"/>
    <mergeCell ref="B1:K1"/>
    <mergeCell ref="C5:H5"/>
    <mergeCell ref="C9:H9"/>
    <mergeCell ref="C8:H8"/>
    <mergeCell ref="C4:H4"/>
    <mergeCell ref="C3:H3"/>
    <mergeCell ref="C7:H7"/>
  </mergeCells>
  <dataValidations xWindow="184" yWindow="594" count="1">
    <dataValidation sqref="A1" showDropDown="0" showInputMessage="1" showErrorMessage="1" allowBlank="1" prompt="Créez une feuille de temps hebdomadaire dans cette feuille de travail. Le total des heures et le salaire total sont automatiquement calculés"/>
  </dataValidations>
  <hyperlinks>
    <hyperlink xmlns:r="http://schemas.openxmlformats.org/officeDocument/2006/relationships" ref="K8" r:id="rId1"/>
    <hyperlink xmlns:r="http://schemas.openxmlformats.org/officeDocument/2006/relationships" ref="C9" r:id="rId2"/>
  </hyperlinks>
  <printOptions horizontalCentered="1"/>
  <pageMargins left="0.25" right="0.25" top="0.75" bottom="0.75" header="0.3" footer="0.3"/>
  <pageSetup orientation="landscape" paperSize="9" scale="46"/>
  <headerFooter differentFirst="1">
    <oddHeader/>
    <oddFooter>&amp;L&amp;C&amp;R</oddFooter>
    <evenHeader/>
    <evenFooter/>
    <firstHeader/>
    <firstFooter/>
  </headerFooter>
  <tableParts count="6"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2023-01-31T06:47:18Z</dcterms:created>
  <dcterms:modified xsi:type="dcterms:W3CDTF">2026-08-26T09:16:32Z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0x01010079F111ED35F8CC479449609E8A0923A6</vt:lpwstr>
  </property>
</Properties>
</file>